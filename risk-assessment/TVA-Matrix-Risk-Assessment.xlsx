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coit20246-project\risk-assessment\"/>
    </mc:Choice>
  </mc:AlternateContent>
  <xr:revisionPtr revIDLastSave="0" documentId="13_ncr:1_{E6AB0383-A07A-4CFB-9C4C-99B3F03D8004}" xr6:coauthVersionLast="47" xr6:coauthVersionMax="47" xr10:uidLastSave="{00000000-0000-0000-0000-000000000000}"/>
  <bookViews>
    <workbookView xWindow="-98" yWindow="-98" windowWidth="19396" windowHeight="10395" tabRatio="500" firstSheet="3" activeTab="4" xr2:uid="{00000000-000D-0000-FFFF-FFFF00000000}"/>
  </bookViews>
  <sheets>
    <sheet name="README" sheetId="1" r:id="rId1"/>
    <sheet name="Assets" sheetId="2" r:id="rId2"/>
    <sheet name="Vulnerabilities" sheetId="3" r:id="rId3"/>
    <sheet name="DO NOT EDIT ---&gt;" sheetId="4" r:id="rId4"/>
    <sheet name="TVAMatrix" sheetId="5" r:id="rId5"/>
    <sheet name="AssetTypes" sheetId="6" r:id="rId6"/>
    <sheet name="RiskValues" sheetId="7" r:id="rId7"/>
    <sheet name="InfoSecThreats" sheetId="8" r:id="rId8"/>
  </sheets>
  <definedNames>
    <definedName name="_xlnm._FilterDatabase" localSheetId="2" hidden="1">Vulnerabilities!$A$1:$L$401</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6" i="7" l="1"/>
  <c r="C25" i="7"/>
  <c r="C24" i="7"/>
  <c r="C23" i="7"/>
  <c r="C22" i="7"/>
  <c r="C21" i="7"/>
  <c r="C20" i="7"/>
  <c r="C19" i="7"/>
  <c r="C18" i="7"/>
  <c r="C17" i="7"/>
  <c r="C16" i="7"/>
  <c r="C15" i="7"/>
  <c r="C14" i="7"/>
  <c r="C13" i="7"/>
  <c r="C12" i="7"/>
  <c r="C11" i="7"/>
  <c r="C10" i="7"/>
  <c r="C9" i="7"/>
  <c r="C8" i="7"/>
  <c r="C7" i="7"/>
  <c r="C6" i="7"/>
  <c r="C5" i="7"/>
  <c r="C4" i="7"/>
  <c r="C3" i="7"/>
  <c r="C2" i="7"/>
  <c r="A10" i="5"/>
  <c r="C9" i="5"/>
  <c r="A9" i="5"/>
  <c r="A8" i="5"/>
  <c r="A12" i="5" s="1"/>
  <c r="B7" i="5"/>
  <c r="A7" i="5"/>
  <c r="C7" i="5" s="1"/>
  <c r="C6" i="5"/>
  <c r="B6" i="5"/>
  <c r="C5" i="5"/>
  <c r="B5" i="5"/>
  <c r="C4" i="5"/>
  <c r="B4" i="5"/>
  <c r="P3" i="5"/>
  <c r="H3" i="5"/>
  <c r="G3" i="5"/>
  <c r="F3" i="5"/>
  <c r="E3" i="5"/>
  <c r="C3" i="5"/>
  <c r="B3" i="5"/>
  <c r="P2" i="5"/>
  <c r="O2" i="5"/>
  <c r="N2" i="5"/>
  <c r="M2" i="5"/>
  <c r="L2" i="5"/>
  <c r="K2" i="5"/>
  <c r="J2" i="5"/>
  <c r="I2" i="5"/>
  <c r="H2" i="5"/>
  <c r="G2" i="5"/>
  <c r="F2" i="5"/>
  <c r="E2" i="5"/>
  <c r="K401" i="3"/>
  <c r="G401" i="3"/>
  <c r="E401" i="3"/>
  <c r="D401" i="3"/>
  <c r="B401" i="3"/>
  <c r="K400" i="3"/>
  <c r="G400" i="3"/>
  <c r="E400" i="3"/>
  <c r="D400" i="3"/>
  <c r="B400" i="3"/>
  <c r="K399" i="3"/>
  <c r="G399" i="3"/>
  <c r="E399" i="3"/>
  <c r="D399" i="3"/>
  <c r="B399" i="3"/>
  <c r="K398" i="3"/>
  <c r="G398" i="3"/>
  <c r="E398" i="3"/>
  <c r="D398" i="3"/>
  <c r="B398" i="3"/>
  <c r="K397" i="3"/>
  <c r="G397" i="3"/>
  <c r="E397" i="3"/>
  <c r="D397" i="3"/>
  <c r="B397" i="3"/>
  <c r="K396" i="3"/>
  <c r="G396" i="3"/>
  <c r="E396" i="3"/>
  <c r="D396" i="3"/>
  <c r="B396" i="3"/>
  <c r="K395" i="3"/>
  <c r="G395" i="3"/>
  <c r="E395" i="3"/>
  <c r="D395" i="3"/>
  <c r="B395" i="3"/>
  <c r="K394" i="3"/>
  <c r="G394" i="3"/>
  <c r="E394" i="3"/>
  <c r="D394" i="3"/>
  <c r="B394" i="3"/>
  <c r="K393" i="3"/>
  <c r="G393" i="3"/>
  <c r="E393" i="3"/>
  <c r="D393" i="3"/>
  <c r="B393" i="3"/>
  <c r="K392" i="3"/>
  <c r="G392" i="3"/>
  <c r="E392" i="3"/>
  <c r="D392" i="3"/>
  <c r="B392" i="3"/>
  <c r="K391" i="3"/>
  <c r="G391" i="3"/>
  <c r="E391" i="3"/>
  <c r="D391" i="3"/>
  <c r="B391" i="3"/>
  <c r="K390" i="3"/>
  <c r="G390" i="3"/>
  <c r="E390" i="3"/>
  <c r="D390" i="3"/>
  <c r="B390" i="3"/>
  <c r="K389" i="3"/>
  <c r="G389" i="3"/>
  <c r="E389" i="3"/>
  <c r="D389" i="3"/>
  <c r="B389" i="3"/>
  <c r="K388" i="3"/>
  <c r="G388" i="3"/>
  <c r="E388" i="3"/>
  <c r="D388" i="3"/>
  <c r="B388" i="3"/>
  <c r="K387" i="3"/>
  <c r="G387" i="3"/>
  <c r="E387" i="3"/>
  <c r="D387" i="3"/>
  <c r="B387" i="3"/>
  <c r="K386" i="3"/>
  <c r="G386" i="3"/>
  <c r="E386" i="3"/>
  <c r="D386" i="3"/>
  <c r="B386" i="3"/>
  <c r="K385" i="3"/>
  <c r="G385" i="3"/>
  <c r="E385" i="3"/>
  <c r="D385" i="3"/>
  <c r="B385" i="3"/>
  <c r="K384" i="3"/>
  <c r="G384" i="3"/>
  <c r="E384" i="3"/>
  <c r="D384" i="3"/>
  <c r="B384" i="3"/>
  <c r="K383" i="3"/>
  <c r="G383" i="3"/>
  <c r="E383" i="3"/>
  <c r="D383" i="3"/>
  <c r="B383" i="3"/>
  <c r="K382" i="3"/>
  <c r="G382" i="3"/>
  <c r="E382" i="3"/>
  <c r="D382" i="3"/>
  <c r="B382" i="3"/>
  <c r="K381" i="3"/>
  <c r="G381" i="3"/>
  <c r="E381" i="3"/>
  <c r="D381" i="3"/>
  <c r="B381" i="3"/>
  <c r="K380" i="3"/>
  <c r="G380" i="3"/>
  <c r="E380" i="3"/>
  <c r="D380" i="3"/>
  <c r="B380" i="3"/>
  <c r="K379" i="3"/>
  <c r="G379" i="3"/>
  <c r="E379" i="3"/>
  <c r="D379" i="3"/>
  <c r="B379" i="3"/>
  <c r="K378" i="3"/>
  <c r="G378" i="3"/>
  <c r="E378" i="3"/>
  <c r="D378" i="3"/>
  <c r="B378" i="3"/>
  <c r="K377" i="3"/>
  <c r="G377" i="3"/>
  <c r="E377" i="3"/>
  <c r="D377" i="3"/>
  <c r="B377" i="3"/>
  <c r="K376" i="3"/>
  <c r="G376" i="3"/>
  <c r="E376" i="3"/>
  <c r="D376" i="3"/>
  <c r="B376" i="3"/>
  <c r="K375" i="3"/>
  <c r="G375" i="3"/>
  <c r="E375" i="3"/>
  <c r="D375" i="3"/>
  <c r="B375" i="3"/>
  <c r="K374" i="3"/>
  <c r="G374" i="3"/>
  <c r="E374" i="3"/>
  <c r="D374" i="3"/>
  <c r="B374" i="3"/>
  <c r="K373" i="3"/>
  <c r="G373" i="3"/>
  <c r="E373" i="3"/>
  <c r="D373" i="3"/>
  <c r="B373" i="3"/>
  <c r="K372" i="3"/>
  <c r="G372" i="3"/>
  <c r="E372" i="3"/>
  <c r="D372" i="3"/>
  <c r="B372" i="3"/>
  <c r="K371" i="3"/>
  <c r="G371" i="3"/>
  <c r="E371" i="3"/>
  <c r="D371" i="3"/>
  <c r="B371" i="3"/>
  <c r="K370" i="3"/>
  <c r="G370" i="3"/>
  <c r="E370" i="3"/>
  <c r="D370" i="3"/>
  <c r="B370" i="3"/>
  <c r="K369" i="3"/>
  <c r="G369" i="3"/>
  <c r="E369" i="3"/>
  <c r="D369" i="3"/>
  <c r="B369" i="3"/>
  <c r="K368" i="3"/>
  <c r="G368" i="3"/>
  <c r="E368" i="3"/>
  <c r="D368" i="3"/>
  <c r="B368" i="3"/>
  <c r="K367" i="3"/>
  <c r="G367" i="3"/>
  <c r="E367" i="3"/>
  <c r="D367" i="3"/>
  <c r="B367" i="3"/>
  <c r="K366" i="3"/>
  <c r="G366" i="3"/>
  <c r="E366" i="3"/>
  <c r="D366" i="3"/>
  <c r="B366" i="3"/>
  <c r="K365" i="3"/>
  <c r="G365" i="3"/>
  <c r="E365" i="3"/>
  <c r="D365" i="3"/>
  <c r="B365" i="3"/>
  <c r="K364" i="3"/>
  <c r="G364" i="3"/>
  <c r="E364" i="3"/>
  <c r="D364" i="3"/>
  <c r="B364" i="3"/>
  <c r="K363" i="3"/>
  <c r="G363" i="3"/>
  <c r="E363" i="3"/>
  <c r="D363" i="3"/>
  <c r="B363" i="3"/>
  <c r="K362" i="3"/>
  <c r="G362" i="3"/>
  <c r="E362" i="3"/>
  <c r="D362" i="3"/>
  <c r="B362" i="3"/>
  <c r="K361" i="3"/>
  <c r="G361" i="3"/>
  <c r="E361" i="3"/>
  <c r="D361" i="3"/>
  <c r="B361" i="3"/>
  <c r="K360" i="3"/>
  <c r="G360" i="3"/>
  <c r="E360" i="3"/>
  <c r="D360" i="3"/>
  <c r="B360" i="3"/>
  <c r="K359" i="3"/>
  <c r="G359" i="3"/>
  <c r="E359" i="3"/>
  <c r="D359" i="3"/>
  <c r="B359" i="3"/>
  <c r="K358" i="3"/>
  <c r="G358" i="3"/>
  <c r="E358" i="3"/>
  <c r="D358" i="3"/>
  <c r="B358" i="3"/>
  <c r="K357" i="3"/>
  <c r="G357" i="3"/>
  <c r="E357" i="3"/>
  <c r="D357" i="3"/>
  <c r="B357" i="3"/>
  <c r="K356" i="3"/>
  <c r="G356" i="3"/>
  <c r="E356" i="3"/>
  <c r="D356" i="3"/>
  <c r="B356" i="3"/>
  <c r="K355" i="3"/>
  <c r="G355" i="3"/>
  <c r="E355" i="3"/>
  <c r="D355" i="3"/>
  <c r="B355" i="3"/>
  <c r="K354" i="3"/>
  <c r="G354" i="3"/>
  <c r="E354" i="3"/>
  <c r="D354" i="3"/>
  <c r="B354" i="3"/>
  <c r="K353" i="3"/>
  <c r="G353" i="3"/>
  <c r="E353" i="3"/>
  <c r="D353" i="3"/>
  <c r="B353" i="3"/>
  <c r="K352" i="3"/>
  <c r="G352" i="3"/>
  <c r="E352" i="3"/>
  <c r="D352" i="3"/>
  <c r="B352" i="3"/>
  <c r="K351" i="3"/>
  <c r="G351" i="3"/>
  <c r="E351" i="3"/>
  <c r="D351" i="3"/>
  <c r="B351" i="3"/>
  <c r="K350" i="3"/>
  <c r="G350" i="3"/>
  <c r="E350" i="3"/>
  <c r="D350" i="3"/>
  <c r="B350" i="3"/>
  <c r="K349" i="3"/>
  <c r="G349" i="3"/>
  <c r="E349" i="3"/>
  <c r="D349" i="3"/>
  <c r="B349" i="3"/>
  <c r="K348" i="3"/>
  <c r="G348" i="3"/>
  <c r="E348" i="3"/>
  <c r="D348" i="3"/>
  <c r="B348" i="3"/>
  <c r="K347" i="3"/>
  <c r="G347" i="3"/>
  <c r="E347" i="3"/>
  <c r="D347" i="3"/>
  <c r="B347" i="3"/>
  <c r="K346" i="3"/>
  <c r="G346" i="3"/>
  <c r="E346" i="3"/>
  <c r="D346" i="3"/>
  <c r="B346" i="3"/>
  <c r="K345" i="3"/>
  <c r="G345" i="3"/>
  <c r="E345" i="3"/>
  <c r="D345" i="3"/>
  <c r="B345" i="3"/>
  <c r="K344" i="3"/>
  <c r="G344" i="3"/>
  <c r="E344" i="3"/>
  <c r="D344" i="3"/>
  <c r="B344" i="3"/>
  <c r="K343" i="3"/>
  <c r="G343" i="3"/>
  <c r="E343" i="3"/>
  <c r="D343" i="3"/>
  <c r="B343" i="3"/>
  <c r="K342" i="3"/>
  <c r="G342" i="3"/>
  <c r="E342" i="3"/>
  <c r="D342" i="3"/>
  <c r="B342" i="3"/>
  <c r="K341" i="3"/>
  <c r="G341" i="3"/>
  <c r="E341" i="3"/>
  <c r="D341" i="3"/>
  <c r="B341" i="3"/>
  <c r="K340" i="3"/>
  <c r="G340" i="3"/>
  <c r="E340" i="3"/>
  <c r="D340" i="3"/>
  <c r="B340" i="3"/>
  <c r="K339" i="3"/>
  <c r="G339" i="3"/>
  <c r="E339" i="3"/>
  <c r="D339" i="3"/>
  <c r="B339" i="3"/>
  <c r="K338" i="3"/>
  <c r="G338" i="3"/>
  <c r="E338" i="3"/>
  <c r="D338" i="3"/>
  <c r="B338" i="3"/>
  <c r="K337" i="3"/>
  <c r="G337" i="3"/>
  <c r="E337" i="3"/>
  <c r="D337" i="3"/>
  <c r="B337" i="3"/>
  <c r="K336" i="3"/>
  <c r="G336" i="3"/>
  <c r="E336" i="3"/>
  <c r="D336" i="3"/>
  <c r="B336" i="3"/>
  <c r="K335" i="3"/>
  <c r="G335" i="3"/>
  <c r="E335" i="3"/>
  <c r="D335" i="3"/>
  <c r="B335" i="3"/>
  <c r="K334" i="3"/>
  <c r="G334" i="3"/>
  <c r="E334" i="3"/>
  <c r="D334" i="3"/>
  <c r="B334" i="3"/>
  <c r="K333" i="3"/>
  <c r="G333" i="3"/>
  <c r="E333" i="3"/>
  <c r="D333" i="3"/>
  <c r="B333" i="3"/>
  <c r="K332" i="3"/>
  <c r="G332" i="3"/>
  <c r="E332" i="3"/>
  <c r="D332" i="3"/>
  <c r="B332" i="3"/>
  <c r="K331" i="3"/>
  <c r="G331" i="3"/>
  <c r="E331" i="3"/>
  <c r="D331" i="3"/>
  <c r="B331" i="3"/>
  <c r="K330" i="3"/>
  <c r="G330" i="3"/>
  <c r="E330" i="3"/>
  <c r="D330" i="3"/>
  <c r="B330" i="3"/>
  <c r="K329" i="3"/>
  <c r="G329" i="3"/>
  <c r="E329" i="3"/>
  <c r="D329" i="3"/>
  <c r="B329" i="3"/>
  <c r="K328" i="3"/>
  <c r="G328" i="3"/>
  <c r="E328" i="3"/>
  <c r="D328" i="3"/>
  <c r="B328" i="3"/>
  <c r="K327" i="3"/>
  <c r="G327" i="3"/>
  <c r="E327" i="3"/>
  <c r="D327" i="3"/>
  <c r="B327" i="3"/>
  <c r="K326" i="3"/>
  <c r="G326" i="3"/>
  <c r="E326" i="3"/>
  <c r="D326" i="3"/>
  <c r="B326" i="3"/>
  <c r="K325" i="3"/>
  <c r="G325" i="3"/>
  <c r="E325" i="3"/>
  <c r="D325" i="3"/>
  <c r="B325" i="3"/>
  <c r="K324" i="3"/>
  <c r="G324" i="3"/>
  <c r="E324" i="3"/>
  <c r="D324" i="3"/>
  <c r="B324" i="3"/>
  <c r="K323" i="3"/>
  <c r="G323" i="3"/>
  <c r="E323" i="3"/>
  <c r="D323" i="3"/>
  <c r="B323" i="3"/>
  <c r="K322" i="3"/>
  <c r="G322" i="3"/>
  <c r="E322" i="3"/>
  <c r="D322" i="3"/>
  <c r="B322" i="3"/>
  <c r="K321" i="3"/>
  <c r="G321" i="3"/>
  <c r="E321" i="3"/>
  <c r="D321" i="3"/>
  <c r="B321" i="3"/>
  <c r="K320" i="3"/>
  <c r="G320" i="3"/>
  <c r="E320" i="3"/>
  <c r="D320" i="3"/>
  <c r="B320" i="3"/>
  <c r="K319" i="3"/>
  <c r="G319" i="3"/>
  <c r="E319" i="3"/>
  <c r="D319" i="3"/>
  <c r="B319" i="3"/>
  <c r="K318" i="3"/>
  <c r="G318" i="3"/>
  <c r="E318" i="3"/>
  <c r="D318" i="3"/>
  <c r="B318" i="3"/>
  <c r="K317" i="3"/>
  <c r="G317" i="3"/>
  <c r="E317" i="3"/>
  <c r="D317" i="3"/>
  <c r="B317" i="3"/>
  <c r="K316" i="3"/>
  <c r="G316" i="3"/>
  <c r="E316" i="3"/>
  <c r="D316" i="3"/>
  <c r="B316" i="3"/>
  <c r="K315" i="3"/>
  <c r="G315" i="3"/>
  <c r="E315" i="3"/>
  <c r="D315" i="3"/>
  <c r="B315" i="3"/>
  <c r="K314" i="3"/>
  <c r="G314" i="3"/>
  <c r="E314" i="3"/>
  <c r="D314" i="3"/>
  <c r="B314" i="3"/>
  <c r="K313" i="3"/>
  <c r="G313" i="3"/>
  <c r="E313" i="3"/>
  <c r="D313" i="3"/>
  <c r="B313" i="3"/>
  <c r="K312" i="3"/>
  <c r="G312" i="3"/>
  <c r="E312" i="3"/>
  <c r="D312" i="3"/>
  <c r="B312" i="3"/>
  <c r="K311" i="3"/>
  <c r="G311" i="3"/>
  <c r="E311" i="3"/>
  <c r="D311" i="3"/>
  <c r="B311" i="3"/>
  <c r="K310" i="3"/>
  <c r="G310" i="3"/>
  <c r="E310" i="3"/>
  <c r="D310" i="3"/>
  <c r="B310" i="3"/>
  <c r="K309" i="3"/>
  <c r="G309" i="3"/>
  <c r="E309" i="3"/>
  <c r="D309" i="3"/>
  <c r="B309" i="3"/>
  <c r="K308" i="3"/>
  <c r="G308" i="3"/>
  <c r="E308" i="3"/>
  <c r="D308" i="3"/>
  <c r="B308" i="3"/>
  <c r="K307" i="3"/>
  <c r="G307" i="3"/>
  <c r="E307" i="3"/>
  <c r="D307" i="3"/>
  <c r="B307" i="3"/>
  <c r="K306" i="3"/>
  <c r="G306" i="3"/>
  <c r="E306" i="3"/>
  <c r="D306" i="3"/>
  <c r="B306" i="3"/>
  <c r="K305" i="3"/>
  <c r="G305" i="3"/>
  <c r="E305" i="3"/>
  <c r="D305" i="3"/>
  <c r="B305" i="3"/>
  <c r="K304" i="3"/>
  <c r="G304" i="3"/>
  <c r="E304" i="3"/>
  <c r="D304" i="3"/>
  <c r="B304" i="3"/>
  <c r="K303" i="3"/>
  <c r="G303" i="3"/>
  <c r="E303" i="3"/>
  <c r="D303" i="3"/>
  <c r="B303" i="3"/>
  <c r="K302" i="3"/>
  <c r="G302" i="3"/>
  <c r="E302" i="3"/>
  <c r="D302" i="3"/>
  <c r="B302" i="3"/>
  <c r="K301" i="3"/>
  <c r="G301" i="3"/>
  <c r="E301" i="3"/>
  <c r="D301" i="3"/>
  <c r="B301" i="3"/>
  <c r="K300" i="3"/>
  <c r="G300" i="3"/>
  <c r="E300" i="3"/>
  <c r="D300" i="3"/>
  <c r="B300" i="3"/>
  <c r="K299" i="3"/>
  <c r="G299" i="3"/>
  <c r="E299" i="3"/>
  <c r="D299" i="3"/>
  <c r="B299" i="3"/>
  <c r="K298" i="3"/>
  <c r="G298" i="3"/>
  <c r="E298" i="3"/>
  <c r="D298" i="3"/>
  <c r="B298" i="3"/>
  <c r="K297" i="3"/>
  <c r="G297" i="3"/>
  <c r="E297" i="3"/>
  <c r="D297" i="3"/>
  <c r="B297" i="3"/>
  <c r="K296" i="3"/>
  <c r="G296" i="3"/>
  <c r="E296" i="3"/>
  <c r="D296" i="3"/>
  <c r="B296" i="3"/>
  <c r="K295" i="3"/>
  <c r="G295" i="3"/>
  <c r="E295" i="3"/>
  <c r="D295" i="3"/>
  <c r="B295" i="3"/>
  <c r="K294" i="3"/>
  <c r="G294" i="3"/>
  <c r="E294" i="3"/>
  <c r="D294" i="3"/>
  <c r="B294" i="3"/>
  <c r="K293" i="3"/>
  <c r="G293" i="3"/>
  <c r="E293" i="3"/>
  <c r="D293" i="3"/>
  <c r="B293" i="3"/>
  <c r="K292" i="3"/>
  <c r="G292" i="3"/>
  <c r="E292" i="3"/>
  <c r="D292" i="3"/>
  <c r="B292" i="3"/>
  <c r="K291" i="3"/>
  <c r="G291" i="3"/>
  <c r="E291" i="3"/>
  <c r="D291" i="3"/>
  <c r="B291" i="3"/>
  <c r="K290" i="3"/>
  <c r="G290" i="3"/>
  <c r="E290" i="3"/>
  <c r="D290" i="3"/>
  <c r="B290" i="3"/>
  <c r="K289" i="3"/>
  <c r="G289" i="3"/>
  <c r="E289" i="3"/>
  <c r="D289" i="3"/>
  <c r="B289" i="3"/>
  <c r="K288" i="3"/>
  <c r="G288" i="3"/>
  <c r="E288" i="3"/>
  <c r="D288" i="3"/>
  <c r="B288" i="3"/>
  <c r="K287" i="3"/>
  <c r="G287" i="3"/>
  <c r="E287" i="3"/>
  <c r="D287" i="3"/>
  <c r="B287" i="3"/>
  <c r="K286" i="3"/>
  <c r="G286" i="3"/>
  <c r="E286" i="3"/>
  <c r="D286" i="3"/>
  <c r="B286" i="3"/>
  <c r="K285" i="3"/>
  <c r="G285" i="3"/>
  <c r="E285" i="3"/>
  <c r="D285" i="3"/>
  <c r="B285" i="3"/>
  <c r="K284" i="3"/>
  <c r="G284" i="3"/>
  <c r="E284" i="3"/>
  <c r="D284" i="3"/>
  <c r="B284" i="3"/>
  <c r="K283" i="3"/>
  <c r="G283" i="3"/>
  <c r="E283" i="3"/>
  <c r="D283" i="3"/>
  <c r="B283" i="3"/>
  <c r="K282" i="3"/>
  <c r="G282" i="3"/>
  <c r="E282" i="3"/>
  <c r="D282" i="3"/>
  <c r="B282" i="3"/>
  <c r="K281" i="3"/>
  <c r="G281" i="3"/>
  <c r="E281" i="3"/>
  <c r="D281" i="3"/>
  <c r="B281" i="3"/>
  <c r="K280" i="3"/>
  <c r="G280" i="3"/>
  <c r="E280" i="3"/>
  <c r="D280" i="3"/>
  <c r="B280" i="3"/>
  <c r="K279" i="3"/>
  <c r="G279" i="3"/>
  <c r="E279" i="3"/>
  <c r="D279" i="3"/>
  <c r="B279" i="3"/>
  <c r="K278" i="3"/>
  <c r="G278" i="3"/>
  <c r="E278" i="3"/>
  <c r="D278" i="3"/>
  <c r="B278" i="3"/>
  <c r="K277" i="3"/>
  <c r="G277" i="3"/>
  <c r="E277" i="3"/>
  <c r="D277" i="3"/>
  <c r="B277" i="3"/>
  <c r="K276" i="3"/>
  <c r="G276" i="3"/>
  <c r="E276" i="3"/>
  <c r="D276" i="3"/>
  <c r="B276" i="3"/>
  <c r="K275" i="3"/>
  <c r="G275" i="3"/>
  <c r="E275" i="3"/>
  <c r="D275" i="3"/>
  <c r="B275" i="3"/>
  <c r="K274" i="3"/>
  <c r="G274" i="3"/>
  <c r="E274" i="3"/>
  <c r="D274" i="3"/>
  <c r="B274" i="3"/>
  <c r="K273" i="3"/>
  <c r="G273" i="3"/>
  <c r="E273" i="3"/>
  <c r="D273" i="3"/>
  <c r="B273" i="3"/>
  <c r="K272" i="3"/>
  <c r="G272" i="3"/>
  <c r="E272" i="3"/>
  <c r="D272" i="3"/>
  <c r="B272" i="3"/>
  <c r="K271" i="3"/>
  <c r="G271" i="3"/>
  <c r="E271" i="3"/>
  <c r="D271" i="3"/>
  <c r="B271" i="3"/>
  <c r="K270" i="3"/>
  <c r="G270" i="3"/>
  <c r="E270" i="3"/>
  <c r="D270" i="3"/>
  <c r="B270" i="3"/>
  <c r="K269" i="3"/>
  <c r="G269" i="3"/>
  <c r="E269" i="3"/>
  <c r="D269" i="3"/>
  <c r="B269" i="3"/>
  <c r="K268" i="3"/>
  <c r="G268" i="3"/>
  <c r="E268" i="3"/>
  <c r="D268" i="3"/>
  <c r="B268" i="3"/>
  <c r="K267" i="3"/>
  <c r="G267" i="3"/>
  <c r="E267" i="3"/>
  <c r="D267" i="3"/>
  <c r="B267" i="3"/>
  <c r="K266" i="3"/>
  <c r="G266" i="3"/>
  <c r="E266" i="3"/>
  <c r="D266" i="3"/>
  <c r="B266" i="3"/>
  <c r="K265" i="3"/>
  <c r="G265" i="3"/>
  <c r="E265" i="3"/>
  <c r="D265" i="3"/>
  <c r="B265" i="3"/>
  <c r="K264" i="3"/>
  <c r="G264" i="3"/>
  <c r="E264" i="3"/>
  <c r="D264" i="3"/>
  <c r="B264" i="3"/>
  <c r="K263" i="3"/>
  <c r="G263" i="3"/>
  <c r="E263" i="3"/>
  <c r="D263" i="3"/>
  <c r="B263" i="3"/>
  <c r="K262" i="3"/>
  <c r="G262" i="3"/>
  <c r="E262" i="3"/>
  <c r="D262" i="3"/>
  <c r="B262" i="3"/>
  <c r="K261" i="3"/>
  <c r="G261" i="3"/>
  <c r="E261" i="3"/>
  <c r="D261" i="3"/>
  <c r="B261" i="3"/>
  <c r="K260" i="3"/>
  <c r="G260" i="3"/>
  <c r="E260" i="3"/>
  <c r="D260" i="3"/>
  <c r="B260" i="3"/>
  <c r="K259" i="3"/>
  <c r="G259" i="3"/>
  <c r="E259" i="3"/>
  <c r="D259" i="3"/>
  <c r="B259" i="3"/>
  <c r="K258" i="3"/>
  <c r="G258" i="3"/>
  <c r="E258" i="3"/>
  <c r="D258" i="3"/>
  <c r="B258" i="3"/>
  <c r="K257" i="3"/>
  <c r="G257" i="3"/>
  <c r="E257" i="3"/>
  <c r="D257" i="3"/>
  <c r="B257" i="3"/>
  <c r="K256" i="3"/>
  <c r="G256" i="3"/>
  <c r="E256" i="3"/>
  <c r="D256" i="3"/>
  <c r="B256" i="3"/>
  <c r="K255" i="3"/>
  <c r="G255" i="3"/>
  <c r="E255" i="3"/>
  <c r="D255" i="3"/>
  <c r="B255" i="3"/>
  <c r="K254" i="3"/>
  <c r="G254" i="3"/>
  <c r="E254" i="3"/>
  <c r="D254" i="3"/>
  <c r="B254" i="3"/>
  <c r="K253" i="3"/>
  <c r="G253" i="3"/>
  <c r="E253" i="3"/>
  <c r="D253" i="3"/>
  <c r="B253" i="3"/>
  <c r="K252" i="3"/>
  <c r="G252" i="3"/>
  <c r="E252" i="3"/>
  <c r="D252" i="3"/>
  <c r="B252" i="3"/>
  <c r="K251" i="3"/>
  <c r="G251" i="3"/>
  <c r="E251" i="3"/>
  <c r="D251" i="3"/>
  <c r="B251" i="3"/>
  <c r="K250" i="3"/>
  <c r="G250" i="3"/>
  <c r="E250" i="3"/>
  <c r="D250" i="3"/>
  <c r="B250" i="3"/>
  <c r="K249" i="3"/>
  <c r="G249" i="3"/>
  <c r="E249" i="3"/>
  <c r="D249" i="3"/>
  <c r="B249" i="3"/>
  <c r="K248" i="3"/>
  <c r="G248" i="3"/>
  <c r="E248" i="3"/>
  <c r="D248" i="3"/>
  <c r="B248" i="3"/>
  <c r="K247" i="3"/>
  <c r="G247" i="3"/>
  <c r="E247" i="3"/>
  <c r="D247" i="3"/>
  <c r="B247" i="3"/>
  <c r="K246" i="3"/>
  <c r="G246" i="3"/>
  <c r="E246" i="3"/>
  <c r="D246" i="3"/>
  <c r="B246" i="3"/>
  <c r="K245" i="3"/>
  <c r="G245" i="3"/>
  <c r="E245" i="3"/>
  <c r="D245" i="3"/>
  <c r="B245" i="3"/>
  <c r="K244" i="3"/>
  <c r="G244" i="3"/>
  <c r="E244" i="3"/>
  <c r="D244" i="3"/>
  <c r="B244" i="3"/>
  <c r="K243" i="3"/>
  <c r="G243" i="3"/>
  <c r="E243" i="3"/>
  <c r="D243" i="3"/>
  <c r="B243" i="3"/>
  <c r="K242" i="3"/>
  <c r="G242" i="3"/>
  <c r="E242" i="3"/>
  <c r="D242" i="3"/>
  <c r="B242" i="3"/>
  <c r="K241" i="3"/>
  <c r="G241" i="3"/>
  <c r="E241" i="3"/>
  <c r="D241" i="3"/>
  <c r="B241" i="3"/>
  <c r="K240" i="3"/>
  <c r="G240" i="3"/>
  <c r="E240" i="3"/>
  <c r="D240" i="3"/>
  <c r="B240" i="3"/>
  <c r="K239" i="3"/>
  <c r="G239" i="3"/>
  <c r="E239" i="3"/>
  <c r="D239" i="3"/>
  <c r="B239" i="3"/>
  <c r="K238" i="3"/>
  <c r="G238" i="3"/>
  <c r="E238" i="3"/>
  <c r="D238" i="3"/>
  <c r="B238" i="3"/>
  <c r="K237" i="3"/>
  <c r="G237" i="3"/>
  <c r="E237" i="3"/>
  <c r="D237" i="3"/>
  <c r="B237" i="3"/>
  <c r="K236" i="3"/>
  <c r="G236" i="3"/>
  <c r="E236" i="3"/>
  <c r="D236" i="3"/>
  <c r="B236" i="3"/>
  <c r="K235" i="3"/>
  <c r="G235" i="3"/>
  <c r="E235" i="3"/>
  <c r="D235" i="3"/>
  <c r="B235" i="3"/>
  <c r="K234" i="3"/>
  <c r="G234" i="3"/>
  <c r="E234" i="3"/>
  <c r="D234" i="3"/>
  <c r="B234" i="3"/>
  <c r="K233" i="3"/>
  <c r="G233" i="3"/>
  <c r="E233" i="3"/>
  <c r="D233" i="3"/>
  <c r="B233" i="3"/>
  <c r="K232" i="3"/>
  <c r="G232" i="3"/>
  <c r="E232" i="3"/>
  <c r="D232" i="3"/>
  <c r="B232" i="3"/>
  <c r="K231" i="3"/>
  <c r="G231" i="3"/>
  <c r="E231" i="3"/>
  <c r="D231" i="3"/>
  <c r="B231" i="3"/>
  <c r="K230" i="3"/>
  <c r="G230" i="3"/>
  <c r="E230" i="3"/>
  <c r="D230" i="3"/>
  <c r="B230" i="3"/>
  <c r="K229" i="3"/>
  <c r="G229" i="3"/>
  <c r="E229" i="3"/>
  <c r="D229" i="3"/>
  <c r="B229" i="3"/>
  <c r="K228" i="3"/>
  <c r="G228" i="3"/>
  <c r="E228" i="3"/>
  <c r="D228" i="3"/>
  <c r="B228" i="3"/>
  <c r="K227" i="3"/>
  <c r="G227" i="3"/>
  <c r="E227" i="3"/>
  <c r="D227" i="3"/>
  <c r="B227" i="3"/>
  <c r="K226" i="3"/>
  <c r="G226" i="3"/>
  <c r="E226" i="3"/>
  <c r="D226" i="3"/>
  <c r="B226" i="3"/>
  <c r="K225" i="3"/>
  <c r="G225" i="3"/>
  <c r="E225" i="3"/>
  <c r="D225" i="3"/>
  <c r="B225" i="3"/>
  <c r="K224" i="3"/>
  <c r="G224" i="3"/>
  <c r="E224" i="3"/>
  <c r="D224" i="3"/>
  <c r="B224" i="3"/>
  <c r="K223" i="3"/>
  <c r="G223" i="3"/>
  <c r="E223" i="3"/>
  <c r="D223" i="3"/>
  <c r="B223" i="3"/>
  <c r="K222" i="3"/>
  <c r="G222" i="3"/>
  <c r="E222" i="3"/>
  <c r="D222" i="3"/>
  <c r="B222" i="3"/>
  <c r="K221" i="3"/>
  <c r="G221" i="3"/>
  <c r="E221" i="3"/>
  <c r="D221" i="3"/>
  <c r="B221" i="3"/>
  <c r="K220" i="3"/>
  <c r="G220" i="3"/>
  <c r="E220" i="3"/>
  <c r="D220" i="3"/>
  <c r="B220" i="3"/>
  <c r="K219" i="3"/>
  <c r="G219" i="3"/>
  <c r="E219" i="3"/>
  <c r="D219" i="3"/>
  <c r="B219" i="3"/>
  <c r="K218" i="3"/>
  <c r="G218" i="3"/>
  <c r="E218" i="3"/>
  <c r="D218" i="3"/>
  <c r="B218" i="3"/>
  <c r="K217" i="3"/>
  <c r="G217" i="3"/>
  <c r="E217" i="3"/>
  <c r="D217" i="3"/>
  <c r="B217" i="3"/>
  <c r="K216" i="3"/>
  <c r="G216" i="3"/>
  <c r="E216" i="3"/>
  <c r="D216" i="3"/>
  <c r="B216" i="3"/>
  <c r="K215" i="3"/>
  <c r="G215" i="3"/>
  <c r="E215" i="3"/>
  <c r="D215" i="3"/>
  <c r="B215" i="3"/>
  <c r="K214" i="3"/>
  <c r="G214" i="3"/>
  <c r="E214" i="3"/>
  <c r="D214" i="3"/>
  <c r="B214" i="3"/>
  <c r="K213" i="3"/>
  <c r="G213" i="3"/>
  <c r="E213" i="3"/>
  <c r="D213" i="3"/>
  <c r="B213" i="3"/>
  <c r="K212" i="3"/>
  <c r="G212" i="3"/>
  <c r="E212" i="3"/>
  <c r="D212" i="3"/>
  <c r="B212" i="3"/>
  <c r="K211" i="3"/>
  <c r="G211" i="3"/>
  <c r="E211" i="3"/>
  <c r="D211" i="3"/>
  <c r="B211" i="3"/>
  <c r="K210" i="3"/>
  <c r="G210" i="3"/>
  <c r="E210" i="3"/>
  <c r="D210" i="3"/>
  <c r="B210" i="3"/>
  <c r="K209" i="3"/>
  <c r="G209" i="3"/>
  <c r="E209" i="3"/>
  <c r="D209" i="3"/>
  <c r="B209" i="3"/>
  <c r="K208" i="3"/>
  <c r="G208" i="3"/>
  <c r="E208" i="3"/>
  <c r="D208" i="3"/>
  <c r="B208" i="3"/>
  <c r="K207" i="3"/>
  <c r="G207" i="3"/>
  <c r="E207" i="3"/>
  <c r="D207" i="3"/>
  <c r="B207" i="3"/>
  <c r="K206" i="3"/>
  <c r="G206" i="3"/>
  <c r="E206" i="3"/>
  <c r="D206" i="3"/>
  <c r="B206" i="3"/>
  <c r="K205" i="3"/>
  <c r="G205" i="3"/>
  <c r="E205" i="3"/>
  <c r="D205" i="3"/>
  <c r="B205" i="3"/>
  <c r="K204" i="3"/>
  <c r="G204" i="3"/>
  <c r="E204" i="3"/>
  <c r="D204" i="3"/>
  <c r="B204" i="3"/>
  <c r="K203" i="3"/>
  <c r="G203" i="3"/>
  <c r="E203" i="3"/>
  <c r="D203" i="3"/>
  <c r="B203" i="3"/>
  <c r="K202" i="3"/>
  <c r="G202" i="3"/>
  <c r="E202" i="3"/>
  <c r="D202" i="3"/>
  <c r="B202" i="3"/>
  <c r="K201" i="3"/>
  <c r="G201" i="3"/>
  <c r="E201" i="3"/>
  <c r="D201" i="3"/>
  <c r="B201" i="3"/>
  <c r="K200" i="3"/>
  <c r="G200" i="3"/>
  <c r="E200" i="3"/>
  <c r="D200" i="3"/>
  <c r="B200" i="3"/>
  <c r="K199" i="3"/>
  <c r="G199" i="3"/>
  <c r="E199" i="3"/>
  <c r="D199" i="3"/>
  <c r="B199" i="3"/>
  <c r="K198" i="3"/>
  <c r="G198" i="3"/>
  <c r="E198" i="3"/>
  <c r="D198" i="3"/>
  <c r="B198" i="3"/>
  <c r="K197" i="3"/>
  <c r="G197" i="3"/>
  <c r="E197" i="3"/>
  <c r="D197" i="3"/>
  <c r="B197" i="3"/>
  <c r="K196" i="3"/>
  <c r="G196" i="3"/>
  <c r="E196" i="3"/>
  <c r="D196" i="3"/>
  <c r="B196" i="3"/>
  <c r="K195" i="3"/>
  <c r="G195" i="3"/>
  <c r="E195" i="3"/>
  <c r="D195" i="3"/>
  <c r="B195" i="3"/>
  <c r="K194" i="3"/>
  <c r="G194" i="3"/>
  <c r="E194" i="3"/>
  <c r="D194" i="3"/>
  <c r="B194" i="3"/>
  <c r="K193" i="3"/>
  <c r="G193" i="3"/>
  <c r="E193" i="3"/>
  <c r="D193" i="3"/>
  <c r="B193" i="3"/>
  <c r="K192" i="3"/>
  <c r="G192" i="3"/>
  <c r="E192" i="3"/>
  <c r="D192" i="3"/>
  <c r="B192" i="3"/>
  <c r="K191" i="3"/>
  <c r="G191" i="3"/>
  <c r="E191" i="3"/>
  <c r="D191" i="3"/>
  <c r="B191" i="3"/>
  <c r="K190" i="3"/>
  <c r="G190" i="3"/>
  <c r="E190" i="3"/>
  <c r="D190" i="3"/>
  <c r="B190" i="3"/>
  <c r="K189" i="3"/>
  <c r="G189" i="3"/>
  <c r="E189" i="3"/>
  <c r="D189" i="3"/>
  <c r="B189" i="3"/>
  <c r="K188" i="3"/>
  <c r="G188" i="3"/>
  <c r="E188" i="3"/>
  <c r="D188" i="3"/>
  <c r="B188" i="3"/>
  <c r="K187" i="3"/>
  <c r="G187" i="3"/>
  <c r="E187" i="3"/>
  <c r="D187" i="3"/>
  <c r="B187" i="3"/>
  <c r="K186" i="3"/>
  <c r="G186" i="3"/>
  <c r="E186" i="3"/>
  <c r="D186" i="3"/>
  <c r="B186" i="3"/>
  <c r="K185" i="3"/>
  <c r="G185" i="3"/>
  <c r="E185" i="3"/>
  <c r="D185" i="3"/>
  <c r="B185" i="3"/>
  <c r="K184" i="3"/>
  <c r="G184" i="3"/>
  <c r="E184" i="3"/>
  <c r="D184" i="3"/>
  <c r="B184" i="3"/>
  <c r="K183" i="3"/>
  <c r="G183" i="3"/>
  <c r="E183" i="3"/>
  <c r="D183" i="3"/>
  <c r="B183" i="3"/>
  <c r="K182" i="3"/>
  <c r="G182" i="3"/>
  <c r="E182" i="3"/>
  <c r="D182" i="3"/>
  <c r="B182" i="3"/>
  <c r="K181" i="3"/>
  <c r="G181" i="3"/>
  <c r="E181" i="3"/>
  <c r="D181" i="3"/>
  <c r="B181" i="3"/>
  <c r="K180" i="3"/>
  <c r="G180" i="3"/>
  <c r="E180" i="3"/>
  <c r="D180" i="3"/>
  <c r="B180" i="3"/>
  <c r="K179" i="3"/>
  <c r="G179" i="3"/>
  <c r="E179" i="3"/>
  <c r="D179" i="3"/>
  <c r="B179" i="3"/>
  <c r="K178" i="3"/>
  <c r="G178" i="3"/>
  <c r="E178" i="3"/>
  <c r="D178" i="3"/>
  <c r="B178" i="3"/>
  <c r="K177" i="3"/>
  <c r="G177" i="3"/>
  <c r="E177" i="3"/>
  <c r="D177" i="3"/>
  <c r="B177" i="3"/>
  <c r="K176" i="3"/>
  <c r="G176" i="3"/>
  <c r="E176" i="3"/>
  <c r="D176" i="3"/>
  <c r="B176" i="3"/>
  <c r="K175" i="3"/>
  <c r="G175" i="3"/>
  <c r="E175" i="3"/>
  <c r="D175" i="3"/>
  <c r="B175" i="3"/>
  <c r="K174" i="3"/>
  <c r="G174" i="3"/>
  <c r="E174" i="3"/>
  <c r="D174" i="3"/>
  <c r="B174" i="3"/>
  <c r="K173" i="3"/>
  <c r="G173" i="3"/>
  <c r="E173" i="3"/>
  <c r="D173" i="3"/>
  <c r="B173" i="3"/>
  <c r="K172" i="3"/>
  <c r="G172" i="3"/>
  <c r="E172" i="3"/>
  <c r="D172" i="3"/>
  <c r="B172" i="3"/>
  <c r="K171" i="3"/>
  <c r="G171" i="3"/>
  <c r="E171" i="3"/>
  <c r="D171" i="3"/>
  <c r="B171" i="3"/>
  <c r="K170" i="3"/>
  <c r="G170" i="3"/>
  <c r="E170" i="3"/>
  <c r="D170" i="3"/>
  <c r="B170" i="3"/>
  <c r="K169" i="3"/>
  <c r="G169" i="3"/>
  <c r="E169" i="3"/>
  <c r="D169" i="3"/>
  <c r="B169" i="3"/>
  <c r="K168" i="3"/>
  <c r="G168" i="3"/>
  <c r="E168" i="3"/>
  <c r="D168" i="3"/>
  <c r="B168" i="3"/>
  <c r="K167" i="3"/>
  <c r="G167" i="3"/>
  <c r="E167" i="3"/>
  <c r="D167" i="3"/>
  <c r="B167" i="3"/>
  <c r="K166" i="3"/>
  <c r="G166" i="3"/>
  <c r="E166" i="3"/>
  <c r="D166" i="3"/>
  <c r="B166" i="3"/>
  <c r="K165" i="3"/>
  <c r="G165" i="3"/>
  <c r="E165" i="3"/>
  <c r="D165" i="3"/>
  <c r="B165" i="3"/>
  <c r="K164" i="3"/>
  <c r="G164" i="3"/>
  <c r="E164" i="3"/>
  <c r="D164" i="3"/>
  <c r="B164" i="3"/>
  <c r="K163" i="3"/>
  <c r="G163" i="3"/>
  <c r="E163" i="3"/>
  <c r="D163" i="3"/>
  <c r="B163" i="3"/>
  <c r="K162" i="3"/>
  <c r="G162" i="3"/>
  <c r="E162" i="3"/>
  <c r="D162" i="3"/>
  <c r="B162" i="3"/>
  <c r="K161" i="3"/>
  <c r="G161" i="3"/>
  <c r="E161" i="3"/>
  <c r="D161" i="3"/>
  <c r="B161" i="3"/>
  <c r="K160" i="3"/>
  <c r="G160" i="3"/>
  <c r="E160" i="3"/>
  <c r="D160" i="3"/>
  <c r="B160" i="3"/>
  <c r="K159" i="3"/>
  <c r="G159" i="3"/>
  <c r="E159" i="3"/>
  <c r="D159" i="3"/>
  <c r="B159" i="3"/>
  <c r="K158" i="3"/>
  <c r="G158" i="3"/>
  <c r="E158" i="3"/>
  <c r="D158" i="3"/>
  <c r="B158" i="3"/>
  <c r="K157" i="3"/>
  <c r="G157" i="3"/>
  <c r="E157" i="3"/>
  <c r="D157" i="3"/>
  <c r="B157" i="3"/>
  <c r="K156" i="3"/>
  <c r="G156" i="3"/>
  <c r="E156" i="3"/>
  <c r="D156" i="3"/>
  <c r="B156" i="3"/>
  <c r="K155" i="3"/>
  <c r="G155" i="3"/>
  <c r="E155" i="3"/>
  <c r="D155" i="3"/>
  <c r="B155" i="3"/>
  <c r="K154" i="3"/>
  <c r="G154" i="3"/>
  <c r="E154" i="3"/>
  <c r="D154" i="3"/>
  <c r="B154" i="3"/>
  <c r="K153" i="3"/>
  <c r="G153" i="3"/>
  <c r="E153" i="3"/>
  <c r="D153" i="3"/>
  <c r="B153" i="3"/>
  <c r="K152" i="3"/>
  <c r="G152" i="3"/>
  <c r="E152" i="3"/>
  <c r="D152" i="3"/>
  <c r="B152" i="3"/>
  <c r="K151" i="3"/>
  <c r="G151" i="3"/>
  <c r="E151" i="3"/>
  <c r="D151" i="3"/>
  <c r="B151" i="3"/>
  <c r="K150" i="3"/>
  <c r="G150" i="3"/>
  <c r="E150" i="3"/>
  <c r="D150" i="3"/>
  <c r="B150" i="3"/>
  <c r="K149" i="3"/>
  <c r="G149" i="3"/>
  <c r="E149" i="3"/>
  <c r="D149" i="3"/>
  <c r="B149" i="3"/>
  <c r="K148" i="3"/>
  <c r="G148" i="3"/>
  <c r="E148" i="3"/>
  <c r="D148" i="3"/>
  <c r="B148" i="3"/>
  <c r="K147" i="3"/>
  <c r="G147" i="3"/>
  <c r="E147" i="3"/>
  <c r="D147" i="3"/>
  <c r="B147" i="3"/>
  <c r="K146" i="3"/>
  <c r="G146" i="3"/>
  <c r="E146" i="3"/>
  <c r="D146" i="3"/>
  <c r="B146" i="3"/>
  <c r="K145" i="3"/>
  <c r="G145" i="3"/>
  <c r="E145" i="3"/>
  <c r="D145" i="3"/>
  <c r="B145" i="3"/>
  <c r="K144" i="3"/>
  <c r="G144" i="3"/>
  <c r="E144" i="3"/>
  <c r="D144" i="3"/>
  <c r="B144" i="3"/>
  <c r="K143" i="3"/>
  <c r="G143" i="3"/>
  <c r="E143" i="3"/>
  <c r="D143" i="3"/>
  <c r="B143" i="3"/>
  <c r="K142" i="3"/>
  <c r="G142" i="3"/>
  <c r="E142" i="3"/>
  <c r="D142" i="3"/>
  <c r="B142" i="3"/>
  <c r="K141" i="3"/>
  <c r="G141" i="3"/>
  <c r="E141" i="3"/>
  <c r="D141" i="3"/>
  <c r="B141" i="3"/>
  <c r="K140" i="3"/>
  <c r="G140" i="3"/>
  <c r="E140" i="3"/>
  <c r="D140" i="3"/>
  <c r="B140" i="3"/>
  <c r="K139" i="3"/>
  <c r="G139" i="3"/>
  <c r="E139" i="3"/>
  <c r="D139" i="3"/>
  <c r="B139" i="3"/>
  <c r="K138" i="3"/>
  <c r="G138" i="3"/>
  <c r="E138" i="3"/>
  <c r="D138" i="3"/>
  <c r="B138" i="3"/>
  <c r="K137" i="3"/>
  <c r="G137" i="3"/>
  <c r="E137" i="3"/>
  <c r="D137" i="3"/>
  <c r="B137" i="3"/>
  <c r="K136" i="3"/>
  <c r="G136" i="3"/>
  <c r="E136" i="3"/>
  <c r="D136" i="3"/>
  <c r="B136" i="3"/>
  <c r="K135" i="3"/>
  <c r="G135" i="3"/>
  <c r="E135" i="3"/>
  <c r="D135" i="3"/>
  <c r="B135" i="3"/>
  <c r="K134" i="3"/>
  <c r="G134" i="3"/>
  <c r="E134" i="3"/>
  <c r="D134" i="3"/>
  <c r="B134" i="3"/>
  <c r="K133" i="3"/>
  <c r="G133" i="3"/>
  <c r="E133" i="3"/>
  <c r="D133" i="3"/>
  <c r="B133" i="3"/>
  <c r="K132" i="3"/>
  <c r="G132" i="3"/>
  <c r="E132" i="3"/>
  <c r="D132" i="3"/>
  <c r="B132" i="3"/>
  <c r="K131" i="3"/>
  <c r="G131" i="3"/>
  <c r="E131" i="3"/>
  <c r="D131" i="3"/>
  <c r="B131" i="3"/>
  <c r="K130" i="3"/>
  <c r="G130" i="3"/>
  <c r="E130" i="3"/>
  <c r="D130" i="3"/>
  <c r="B130" i="3"/>
  <c r="K129" i="3"/>
  <c r="G129" i="3"/>
  <c r="E129" i="3"/>
  <c r="D129" i="3"/>
  <c r="B129" i="3"/>
  <c r="K128" i="3"/>
  <c r="G128" i="3"/>
  <c r="E128" i="3"/>
  <c r="D128" i="3"/>
  <c r="B128" i="3"/>
  <c r="K127" i="3"/>
  <c r="G127" i="3"/>
  <c r="E127" i="3"/>
  <c r="D127" i="3"/>
  <c r="B127" i="3"/>
  <c r="K126" i="3"/>
  <c r="G126" i="3"/>
  <c r="E126" i="3"/>
  <c r="D126" i="3"/>
  <c r="B126" i="3"/>
  <c r="K125" i="3"/>
  <c r="G125" i="3"/>
  <c r="E125" i="3"/>
  <c r="D125" i="3"/>
  <c r="B125" i="3"/>
  <c r="K124" i="3"/>
  <c r="G124" i="3"/>
  <c r="E124" i="3"/>
  <c r="D124" i="3"/>
  <c r="B124" i="3"/>
  <c r="K123" i="3"/>
  <c r="G123" i="3"/>
  <c r="E123" i="3"/>
  <c r="D123" i="3"/>
  <c r="B123" i="3"/>
  <c r="K122" i="3"/>
  <c r="G122" i="3"/>
  <c r="E122" i="3"/>
  <c r="D122" i="3"/>
  <c r="B122" i="3"/>
  <c r="K121" i="3"/>
  <c r="G121" i="3"/>
  <c r="E121" i="3"/>
  <c r="D121" i="3"/>
  <c r="B121" i="3"/>
  <c r="K120" i="3"/>
  <c r="G120" i="3"/>
  <c r="E120" i="3"/>
  <c r="D120" i="3"/>
  <c r="B120" i="3"/>
  <c r="K119" i="3"/>
  <c r="G119" i="3"/>
  <c r="E119" i="3"/>
  <c r="D119" i="3"/>
  <c r="B119" i="3"/>
  <c r="K118" i="3"/>
  <c r="G118" i="3"/>
  <c r="E118" i="3"/>
  <c r="D118" i="3"/>
  <c r="B118" i="3"/>
  <c r="K117" i="3"/>
  <c r="G117" i="3"/>
  <c r="E117" i="3"/>
  <c r="D117" i="3"/>
  <c r="B117" i="3"/>
  <c r="K116" i="3"/>
  <c r="G116" i="3"/>
  <c r="E116" i="3"/>
  <c r="D116" i="3"/>
  <c r="B116" i="3"/>
  <c r="K115" i="3"/>
  <c r="G115" i="3"/>
  <c r="E115" i="3"/>
  <c r="D115" i="3"/>
  <c r="B115" i="3"/>
  <c r="K114" i="3"/>
  <c r="G114" i="3"/>
  <c r="E114" i="3"/>
  <c r="D114" i="3"/>
  <c r="B114" i="3"/>
  <c r="K113" i="3"/>
  <c r="G113" i="3"/>
  <c r="E113" i="3"/>
  <c r="D113" i="3"/>
  <c r="B113" i="3"/>
  <c r="K112" i="3"/>
  <c r="G112" i="3"/>
  <c r="E112" i="3"/>
  <c r="D112" i="3"/>
  <c r="B112" i="3"/>
  <c r="K111" i="3"/>
  <c r="G111" i="3"/>
  <c r="E111" i="3"/>
  <c r="D111" i="3"/>
  <c r="B111" i="3"/>
  <c r="K110" i="3"/>
  <c r="G110" i="3"/>
  <c r="E110" i="3"/>
  <c r="D110" i="3"/>
  <c r="B110" i="3"/>
  <c r="K109" i="3"/>
  <c r="G109" i="3"/>
  <c r="E109" i="3"/>
  <c r="D109" i="3"/>
  <c r="B109" i="3"/>
  <c r="K108" i="3"/>
  <c r="G108" i="3"/>
  <c r="E108" i="3"/>
  <c r="D108" i="3"/>
  <c r="B108" i="3"/>
  <c r="K107" i="3"/>
  <c r="G107" i="3"/>
  <c r="E107" i="3"/>
  <c r="D107" i="3"/>
  <c r="B107" i="3"/>
  <c r="K106" i="3"/>
  <c r="G106" i="3"/>
  <c r="E106" i="3"/>
  <c r="D106" i="3"/>
  <c r="B106" i="3"/>
  <c r="K105" i="3"/>
  <c r="G105" i="3"/>
  <c r="E105" i="3"/>
  <c r="D105" i="3"/>
  <c r="B105" i="3"/>
  <c r="K104" i="3"/>
  <c r="G104" i="3"/>
  <c r="E104" i="3"/>
  <c r="D104" i="3"/>
  <c r="B104" i="3"/>
  <c r="K103" i="3"/>
  <c r="G103" i="3"/>
  <c r="E103" i="3"/>
  <c r="D103" i="3"/>
  <c r="B103" i="3"/>
  <c r="K102" i="3"/>
  <c r="G102" i="3"/>
  <c r="E102" i="3"/>
  <c r="D102" i="3"/>
  <c r="B102" i="3"/>
  <c r="K101" i="3"/>
  <c r="G101" i="3"/>
  <c r="P6" i="5" s="1"/>
  <c r="E101" i="3"/>
  <c r="D101" i="3"/>
  <c r="B101" i="3"/>
  <c r="B8" i="5" l="1"/>
  <c r="C8" i="5"/>
  <c r="J3" i="5"/>
  <c r="N3" i="5"/>
  <c r="H4" i="5"/>
  <c r="L4" i="5"/>
  <c r="P4" i="5"/>
  <c r="F5" i="5"/>
  <c r="J5" i="5"/>
  <c r="N5" i="5"/>
  <c r="H6" i="5"/>
  <c r="L6" i="5"/>
  <c r="M7" i="5"/>
  <c r="I7" i="5"/>
  <c r="E7" i="5"/>
  <c r="G7" i="5"/>
  <c r="L7" i="5"/>
  <c r="A16" i="5"/>
  <c r="N12" i="5"/>
  <c r="J12" i="5"/>
  <c r="F12" i="5"/>
  <c r="M12" i="5"/>
  <c r="I12" i="5"/>
  <c r="E12" i="5"/>
  <c r="P12" i="5"/>
  <c r="L12" i="5"/>
  <c r="H12" i="5"/>
  <c r="C12" i="5"/>
  <c r="G8" i="5"/>
  <c r="L8" i="5"/>
  <c r="O9" i="5"/>
  <c r="P9" i="5"/>
  <c r="M10" i="5"/>
  <c r="O12" i="5"/>
  <c r="K3" i="5"/>
  <c r="O3" i="5"/>
  <c r="E4" i="5"/>
  <c r="I4" i="5"/>
  <c r="M4" i="5"/>
  <c r="G5" i="5"/>
  <c r="K5" i="5"/>
  <c r="O5" i="5"/>
  <c r="E6" i="5"/>
  <c r="I6" i="5"/>
  <c r="M6" i="5"/>
  <c r="H7" i="5"/>
  <c r="N7" i="5"/>
  <c r="H8" i="5"/>
  <c r="M8" i="5"/>
  <c r="P10" i="5"/>
  <c r="A11" i="5"/>
  <c r="B12" i="5"/>
  <c r="L3" i="5"/>
  <c r="F4" i="5"/>
  <c r="J4" i="5"/>
  <c r="N4" i="5"/>
  <c r="H5" i="5"/>
  <c r="L5" i="5"/>
  <c r="P5" i="5"/>
  <c r="F6" i="5"/>
  <c r="J6" i="5"/>
  <c r="N6" i="5"/>
  <c r="J7" i="5"/>
  <c r="O7" i="5"/>
  <c r="I8" i="5"/>
  <c r="O8" i="5"/>
  <c r="H9" i="5"/>
  <c r="E10" i="5"/>
  <c r="G12" i="5"/>
  <c r="I3" i="5"/>
  <c r="M3" i="5"/>
  <c r="G4" i="5"/>
  <c r="K4" i="5"/>
  <c r="O4" i="5"/>
  <c r="E5" i="5"/>
  <c r="I5" i="5"/>
  <c r="M5" i="5"/>
  <c r="G6" i="5"/>
  <c r="K6" i="5"/>
  <c r="O6" i="5"/>
  <c r="F7" i="5"/>
  <c r="K7" i="5"/>
  <c r="P7" i="5"/>
  <c r="E8" i="5"/>
  <c r="K8" i="5"/>
  <c r="P8" i="5"/>
  <c r="L9" i="5"/>
  <c r="I10" i="5"/>
  <c r="K12" i="5"/>
  <c r="E9" i="5"/>
  <c r="I9" i="5"/>
  <c r="M9" i="5"/>
  <c r="F10" i="5"/>
  <c r="J10" i="5"/>
  <c r="N10" i="5"/>
  <c r="A14" i="5"/>
  <c r="F9" i="5"/>
  <c r="J9" i="5"/>
  <c r="N9" i="5"/>
  <c r="B10" i="5"/>
  <c r="G10" i="5"/>
  <c r="K10" i="5"/>
  <c r="O10" i="5"/>
  <c r="A13" i="5"/>
  <c r="F8" i="5"/>
  <c r="J8" i="5"/>
  <c r="N8" i="5"/>
  <c r="B9" i="5"/>
  <c r="G9" i="5"/>
  <c r="K9" i="5"/>
  <c r="C10" i="5"/>
  <c r="H10" i="5"/>
  <c r="L10" i="5"/>
  <c r="O13" i="5" l="1"/>
  <c r="K13" i="5"/>
  <c r="G13" i="5"/>
  <c r="B13" i="5"/>
  <c r="A17" i="5"/>
  <c r="N13" i="5"/>
  <c r="J13" i="5"/>
  <c r="F13" i="5"/>
  <c r="M13" i="5"/>
  <c r="I13" i="5"/>
  <c r="E13" i="5"/>
  <c r="L13" i="5"/>
  <c r="H13" i="5"/>
  <c r="C13" i="5"/>
  <c r="P13" i="5"/>
  <c r="P14" i="5"/>
  <c r="L14" i="5"/>
  <c r="H14" i="5"/>
  <c r="C14" i="5"/>
  <c r="O14" i="5"/>
  <c r="K14" i="5"/>
  <c r="G14" i="5"/>
  <c r="B14" i="5"/>
  <c r="A18" i="5"/>
  <c r="N14" i="5"/>
  <c r="J14" i="5"/>
  <c r="F14" i="5"/>
  <c r="M14" i="5"/>
  <c r="I14" i="5"/>
  <c r="E14" i="5"/>
  <c r="A20" i="5"/>
  <c r="N16" i="5"/>
  <c r="J16" i="5"/>
  <c r="F16" i="5"/>
  <c r="M16" i="5"/>
  <c r="I16" i="5"/>
  <c r="E16" i="5"/>
  <c r="P16" i="5"/>
  <c r="L16" i="5"/>
  <c r="H16" i="5"/>
  <c r="C16" i="5"/>
  <c r="O16" i="5"/>
  <c r="K16" i="5"/>
  <c r="G16" i="5"/>
  <c r="B16" i="5"/>
  <c r="M11" i="5"/>
  <c r="I11" i="5"/>
  <c r="E11" i="5"/>
  <c r="P11" i="5"/>
  <c r="L11" i="5"/>
  <c r="H11" i="5"/>
  <c r="C11" i="5"/>
  <c r="O11" i="5"/>
  <c r="K11" i="5"/>
  <c r="G11" i="5"/>
  <c r="B11" i="5"/>
  <c r="J11" i="5"/>
  <c r="F11" i="5"/>
  <c r="A15" i="5"/>
  <c r="N11" i="5"/>
  <c r="M15" i="5" l="1"/>
  <c r="I15" i="5"/>
  <c r="E15" i="5"/>
  <c r="P15" i="5"/>
  <c r="L15" i="5"/>
  <c r="H15" i="5"/>
  <c r="C15" i="5"/>
  <c r="O15" i="5"/>
  <c r="K15" i="5"/>
  <c r="G15" i="5"/>
  <c r="B15" i="5"/>
  <c r="A19" i="5"/>
  <c r="N15" i="5"/>
  <c r="J15" i="5"/>
  <c r="F15" i="5"/>
  <c r="A24" i="5"/>
  <c r="N20" i="5"/>
  <c r="J20" i="5"/>
  <c r="F20" i="5"/>
  <c r="M20" i="5"/>
  <c r="I20" i="5"/>
  <c r="E20" i="5"/>
  <c r="P20" i="5"/>
  <c r="L20" i="5"/>
  <c r="H20" i="5"/>
  <c r="C20" i="5"/>
  <c r="B20" i="5"/>
  <c r="O20" i="5"/>
  <c r="K20" i="5"/>
  <c r="G20" i="5"/>
  <c r="P18" i="5"/>
  <c r="L18" i="5"/>
  <c r="H18" i="5"/>
  <c r="C18" i="5"/>
  <c r="O18" i="5"/>
  <c r="K18" i="5"/>
  <c r="G18" i="5"/>
  <c r="B18" i="5"/>
  <c r="A22" i="5"/>
  <c r="N18" i="5"/>
  <c r="J18" i="5"/>
  <c r="F18" i="5"/>
  <c r="M18" i="5"/>
  <c r="I18" i="5"/>
  <c r="E18" i="5"/>
  <c r="O17" i="5"/>
  <c r="K17" i="5"/>
  <c r="G17" i="5"/>
  <c r="B17" i="5"/>
  <c r="A21" i="5"/>
  <c r="N17" i="5"/>
  <c r="J17" i="5"/>
  <c r="F17" i="5"/>
  <c r="M17" i="5"/>
  <c r="I17" i="5"/>
  <c r="E17" i="5"/>
  <c r="P17" i="5"/>
  <c r="L17" i="5"/>
  <c r="H17" i="5"/>
  <c r="C17" i="5"/>
  <c r="A28" i="5" l="1"/>
  <c r="N24" i="5"/>
  <c r="J24" i="5"/>
  <c r="F24" i="5"/>
  <c r="M24" i="5"/>
  <c r="I24" i="5"/>
  <c r="E24" i="5"/>
  <c r="P24" i="5"/>
  <c r="L24" i="5"/>
  <c r="H24" i="5"/>
  <c r="C24" i="5"/>
  <c r="G24" i="5"/>
  <c r="B24" i="5"/>
  <c r="O24" i="5"/>
  <c r="K24" i="5"/>
  <c r="M19" i="5"/>
  <c r="I19" i="5"/>
  <c r="E19" i="5"/>
  <c r="P19" i="5"/>
  <c r="L19" i="5"/>
  <c r="H19" i="5"/>
  <c r="C19" i="5"/>
  <c r="O19" i="5"/>
  <c r="K19" i="5"/>
  <c r="G19" i="5"/>
  <c r="B19" i="5"/>
  <c r="A23" i="5"/>
  <c r="N19" i="5"/>
  <c r="J19" i="5"/>
  <c r="F19" i="5"/>
  <c r="P22" i="5"/>
  <c r="L22" i="5"/>
  <c r="H22" i="5"/>
  <c r="C22" i="5"/>
  <c r="O22" i="5"/>
  <c r="K22" i="5"/>
  <c r="G22" i="5"/>
  <c r="B22" i="5"/>
  <c r="A26" i="5"/>
  <c r="N22" i="5"/>
  <c r="J22" i="5"/>
  <c r="F22" i="5"/>
  <c r="E22" i="5"/>
  <c r="M22" i="5"/>
  <c r="I22" i="5"/>
  <c r="O21" i="5"/>
  <c r="K21" i="5"/>
  <c r="G21" i="5"/>
  <c r="B21" i="5"/>
  <c r="A25" i="5"/>
  <c r="N21" i="5"/>
  <c r="J21" i="5"/>
  <c r="F21" i="5"/>
  <c r="M21" i="5"/>
  <c r="I21" i="5"/>
  <c r="E21" i="5"/>
  <c r="C21" i="5"/>
  <c r="P21" i="5"/>
  <c r="L21" i="5"/>
  <c r="H21" i="5"/>
  <c r="P26" i="5" l="1"/>
  <c r="L26" i="5"/>
  <c r="H26" i="5"/>
  <c r="C26" i="5"/>
  <c r="O26" i="5"/>
  <c r="K26" i="5"/>
  <c r="G26" i="5"/>
  <c r="B26" i="5"/>
  <c r="A30" i="5"/>
  <c r="N26" i="5"/>
  <c r="J26" i="5"/>
  <c r="F26" i="5"/>
  <c r="I26" i="5"/>
  <c r="E26" i="5"/>
  <c r="M26" i="5"/>
  <c r="M23" i="5"/>
  <c r="I23" i="5"/>
  <c r="E23" i="5"/>
  <c r="P23" i="5"/>
  <c r="L23" i="5"/>
  <c r="H23" i="5"/>
  <c r="C23" i="5"/>
  <c r="O23" i="5"/>
  <c r="K23" i="5"/>
  <c r="G23" i="5"/>
  <c r="B23" i="5"/>
  <c r="F23" i="5"/>
  <c r="A27" i="5"/>
  <c r="N23" i="5"/>
  <c r="J23" i="5"/>
  <c r="O25" i="5"/>
  <c r="K25" i="5"/>
  <c r="G25" i="5"/>
  <c r="B25" i="5"/>
  <c r="A29" i="5"/>
  <c r="N25" i="5"/>
  <c r="J25" i="5"/>
  <c r="F25" i="5"/>
  <c r="M25" i="5"/>
  <c r="I25" i="5"/>
  <c r="E25" i="5"/>
  <c r="H25" i="5"/>
  <c r="C25" i="5"/>
  <c r="P25" i="5"/>
  <c r="L25" i="5"/>
  <c r="A32" i="5"/>
  <c r="N28" i="5"/>
  <c r="J28" i="5"/>
  <c r="F28" i="5"/>
  <c r="M28" i="5"/>
  <c r="I28" i="5"/>
  <c r="E28" i="5"/>
  <c r="P28" i="5"/>
  <c r="L28" i="5"/>
  <c r="H28" i="5"/>
  <c r="C28" i="5"/>
  <c r="K28" i="5"/>
  <c r="G28" i="5"/>
  <c r="B28" i="5"/>
  <c r="O28" i="5"/>
  <c r="O29" i="5" l="1"/>
  <c r="K29" i="5"/>
  <c r="G29" i="5"/>
  <c r="B29" i="5"/>
  <c r="A33" i="5"/>
  <c r="N29" i="5"/>
  <c r="J29" i="5"/>
  <c r="F29" i="5"/>
  <c r="M29" i="5"/>
  <c r="I29" i="5"/>
  <c r="E29" i="5"/>
  <c r="L29" i="5"/>
  <c r="H29" i="5"/>
  <c r="C29" i="5"/>
  <c r="P29" i="5"/>
  <c r="M27" i="5"/>
  <c r="I27" i="5"/>
  <c r="E27" i="5"/>
  <c r="P27" i="5"/>
  <c r="L27" i="5"/>
  <c r="H27" i="5"/>
  <c r="C27" i="5"/>
  <c r="O27" i="5"/>
  <c r="K27" i="5"/>
  <c r="G27" i="5"/>
  <c r="B27" i="5"/>
  <c r="J27" i="5"/>
  <c r="F27" i="5"/>
  <c r="A31" i="5"/>
  <c r="N27" i="5"/>
  <c r="A36" i="5"/>
  <c r="N32" i="5"/>
  <c r="J32" i="5"/>
  <c r="F32" i="5"/>
  <c r="M32" i="5"/>
  <c r="I32" i="5"/>
  <c r="E32" i="5"/>
  <c r="P32" i="5"/>
  <c r="L32" i="5"/>
  <c r="H32" i="5"/>
  <c r="C32" i="5"/>
  <c r="O32" i="5"/>
  <c r="K32" i="5"/>
  <c r="G32" i="5"/>
  <c r="B32" i="5"/>
  <c r="P30" i="5"/>
  <c r="L30" i="5"/>
  <c r="H30" i="5"/>
  <c r="C30" i="5"/>
  <c r="O30" i="5"/>
  <c r="K30" i="5"/>
  <c r="G30" i="5"/>
  <c r="B30" i="5"/>
  <c r="A34" i="5"/>
  <c r="N30" i="5"/>
  <c r="J30" i="5"/>
  <c r="F30" i="5"/>
  <c r="M30" i="5"/>
  <c r="I30" i="5"/>
  <c r="E30" i="5"/>
  <c r="A40" i="5" l="1"/>
  <c r="N36" i="5"/>
  <c r="J36" i="5"/>
  <c r="F36" i="5"/>
  <c r="M36" i="5"/>
  <c r="I36" i="5"/>
  <c r="E36" i="5"/>
  <c r="P36" i="5"/>
  <c r="L36" i="5"/>
  <c r="H36" i="5"/>
  <c r="C36" i="5"/>
  <c r="B36" i="5"/>
  <c r="O36" i="5"/>
  <c r="K36" i="5"/>
  <c r="G36" i="5"/>
  <c r="P34" i="5"/>
  <c r="L34" i="5"/>
  <c r="H34" i="5"/>
  <c r="C34" i="5"/>
  <c r="O34" i="5"/>
  <c r="K34" i="5"/>
  <c r="G34" i="5"/>
  <c r="B34" i="5"/>
  <c r="A38" i="5"/>
  <c r="N34" i="5"/>
  <c r="J34" i="5"/>
  <c r="F34" i="5"/>
  <c r="M34" i="5"/>
  <c r="I34" i="5"/>
  <c r="E34" i="5"/>
  <c r="M31" i="5"/>
  <c r="I31" i="5"/>
  <c r="E31" i="5"/>
  <c r="P31" i="5"/>
  <c r="L31" i="5"/>
  <c r="H31" i="5"/>
  <c r="C31" i="5"/>
  <c r="O31" i="5"/>
  <c r="K31" i="5"/>
  <c r="G31" i="5"/>
  <c r="B31" i="5"/>
  <c r="A35" i="5"/>
  <c r="N31" i="5"/>
  <c r="J31" i="5"/>
  <c r="F31" i="5"/>
  <c r="O33" i="5"/>
  <c r="K33" i="5"/>
  <c r="G33" i="5"/>
  <c r="B33" i="5"/>
  <c r="A37" i="5"/>
  <c r="N33" i="5"/>
  <c r="J33" i="5"/>
  <c r="F33" i="5"/>
  <c r="M33" i="5"/>
  <c r="I33" i="5"/>
  <c r="E33" i="5"/>
  <c r="P33" i="5"/>
  <c r="L33" i="5"/>
  <c r="H33" i="5"/>
  <c r="C33" i="5"/>
  <c r="P38" i="5" l="1"/>
  <c r="L38" i="5"/>
  <c r="H38" i="5"/>
  <c r="C38" i="5"/>
  <c r="O38" i="5"/>
  <c r="K38" i="5"/>
  <c r="G38" i="5"/>
  <c r="B38" i="5"/>
  <c r="A42" i="5"/>
  <c r="N38" i="5"/>
  <c r="J38" i="5"/>
  <c r="F38" i="5"/>
  <c r="E38" i="5"/>
  <c r="M38" i="5"/>
  <c r="I38" i="5"/>
  <c r="O37" i="5"/>
  <c r="K37" i="5"/>
  <c r="G37" i="5"/>
  <c r="B37" i="5"/>
  <c r="A41" i="5"/>
  <c r="N37" i="5"/>
  <c r="J37" i="5"/>
  <c r="F37" i="5"/>
  <c r="M37" i="5"/>
  <c r="I37" i="5"/>
  <c r="E37" i="5"/>
  <c r="C37" i="5"/>
  <c r="P37" i="5"/>
  <c r="L37" i="5"/>
  <c r="H37" i="5"/>
  <c r="M35" i="5"/>
  <c r="I35" i="5"/>
  <c r="E35" i="5"/>
  <c r="P35" i="5"/>
  <c r="L35" i="5"/>
  <c r="H35" i="5"/>
  <c r="C35" i="5"/>
  <c r="O35" i="5"/>
  <c r="K35" i="5"/>
  <c r="G35" i="5"/>
  <c r="B35" i="5"/>
  <c r="A39" i="5"/>
  <c r="N35" i="5"/>
  <c r="J35" i="5"/>
  <c r="F35" i="5"/>
  <c r="A44" i="5"/>
  <c r="N40" i="5"/>
  <c r="J40" i="5"/>
  <c r="F40" i="5"/>
  <c r="M40" i="5"/>
  <c r="I40" i="5"/>
  <c r="E40" i="5"/>
  <c r="P40" i="5"/>
  <c r="L40" i="5"/>
  <c r="H40" i="5"/>
  <c r="C40" i="5"/>
  <c r="G40" i="5"/>
  <c r="B40" i="5"/>
  <c r="O40" i="5"/>
  <c r="K40" i="5"/>
  <c r="O41" i="5" l="1"/>
  <c r="K41" i="5"/>
  <c r="G41" i="5"/>
  <c r="B41" i="5"/>
  <c r="A45" i="5"/>
  <c r="N41" i="5"/>
  <c r="J41" i="5"/>
  <c r="F41" i="5"/>
  <c r="M41" i="5"/>
  <c r="I41" i="5"/>
  <c r="E41" i="5"/>
  <c r="H41" i="5"/>
  <c r="C41" i="5"/>
  <c r="P41" i="5"/>
  <c r="L41" i="5"/>
  <c r="A48" i="5"/>
  <c r="N44" i="5"/>
  <c r="J44" i="5"/>
  <c r="F44" i="5"/>
  <c r="M44" i="5"/>
  <c r="I44" i="5"/>
  <c r="E44" i="5"/>
  <c r="P44" i="5"/>
  <c r="L44" i="5"/>
  <c r="H44" i="5"/>
  <c r="C44" i="5"/>
  <c r="K44" i="5"/>
  <c r="G44" i="5"/>
  <c r="B44" i="5"/>
  <c r="O44" i="5"/>
  <c r="M39" i="5"/>
  <c r="I39" i="5"/>
  <c r="E39" i="5"/>
  <c r="P39" i="5"/>
  <c r="L39" i="5"/>
  <c r="H39" i="5"/>
  <c r="C39" i="5"/>
  <c r="O39" i="5"/>
  <c r="K39" i="5"/>
  <c r="G39" i="5"/>
  <c r="B39" i="5"/>
  <c r="F39" i="5"/>
  <c r="A43" i="5"/>
  <c r="N39" i="5"/>
  <c r="J39" i="5"/>
  <c r="P42" i="5"/>
  <c r="L42" i="5"/>
  <c r="H42" i="5"/>
  <c r="C42" i="5"/>
  <c r="O42" i="5"/>
  <c r="K42" i="5"/>
  <c r="G42" i="5"/>
  <c r="B42" i="5"/>
  <c r="A46" i="5"/>
  <c r="N42" i="5"/>
  <c r="J42" i="5"/>
  <c r="F42" i="5"/>
  <c r="I42" i="5"/>
  <c r="E42" i="5"/>
  <c r="M42" i="5"/>
  <c r="A52" i="5" l="1"/>
  <c r="N48" i="5"/>
  <c r="J48" i="5"/>
  <c r="F48" i="5"/>
  <c r="M48" i="5"/>
  <c r="I48" i="5"/>
  <c r="E48" i="5"/>
  <c r="P48" i="5"/>
  <c r="L48" i="5"/>
  <c r="H48" i="5"/>
  <c r="C48" i="5"/>
  <c r="O48" i="5"/>
  <c r="K48" i="5"/>
  <c r="G48" i="5"/>
  <c r="B48" i="5"/>
  <c r="P46" i="5"/>
  <c r="L46" i="5"/>
  <c r="H46" i="5"/>
  <c r="C46" i="5"/>
  <c r="O46" i="5"/>
  <c r="K46" i="5"/>
  <c r="G46" i="5"/>
  <c r="B46" i="5"/>
  <c r="A50" i="5"/>
  <c r="N46" i="5"/>
  <c r="J46" i="5"/>
  <c r="F46" i="5"/>
  <c r="M46" i="5"/>
  <c r="I46" i="5"/>
  <c r="E46" i="5"/>
  <c r="M43" i="5"/>
  <c r="I43" i="5"/>
  <c r="E43" i="5"/>
  <c r="P43" i="5"/>
  <c r="L43" i="5"/>
  <c r="H43" i="5"/>
  <c r="C43" i="5"/>
  <c r="O43" i="5"/>
  <c r="K43" i="5"/>
  <c r="G43" i="5"/>
  <c r="B43" i="5"/>
  <c r="J43" i="5"/>
  <c r="F43" i="5"/>
  <c r="A47" i="5"/>
  <c r="N43" i="5"/>
  <c r="O45" i="5"/>
  <c r="K45" i="5"/>
  <c r="G45" i="5"/>
  <c r="B45" i="5"/>
  <c r="A49" i="5"/>
  <c r="N45" i="5"/>
  <c r="J45" i="5"/>
  <c r="F45" i="5"/>
  <c r="M45" i="5"/>
  <c r="I45" i="5"/>
  <c r="E45" i="5"/>
  <c r="L45" i="5"/>
  <c r="H45" i="5"/>
  <c r="C45" i="5"/>
  <c r="P45" i="5"/>
  <c r="M47" i="5" l="1"/>
  <c r="I47" i="5"/>
  <c r="E47" i="5"/>
  <c r="P47" i="5"/>
  <c r="L47" i="5"/>
  <c r="H47" i="5"/>
  <c r="C47" i="5"/>
  <c r="O47" i="5"/>
  <c r="K47" i="5"/>
  <c r="G47" i="5"/>
  <c r="B47" i="5"/>
  <c r="A51" i="5"/>
  <c r="N47" i="5"/>
  <c r="J47" i="5"/>
  <c r="F47" i="5"/>
  <c r="P50" i="5"/>
  <c r="L50" i="5"/>
  <c r="H50" i="5"/>
  <c r="C50" i="5"/>
  <c r="O50" i="5"/>
  <c r="K50" i="5"/>
  <c r="G50" i="5"/>
  <c r="B50" i="5"/>
  <c r="A54" i="5"/>
  <c r="N50" i="5"/>
  <c r="J50" i="5"/>
  <c r="F50" i="5"/>
  <c r="M50" i="5"/>
  <c r="I50" i="5"/>
  <c r="E50" i="5"/>
  <c r="O49" i="5"/>
  <c r="K49" i="5"/>
  <c r="G49" i="5"/>
  <c r="B49" i="5"/>
  <c r="A53" i="5"/>
  <c r="N49" i="5"/>
  <c r="J49" i="5"/>
  <c r="F49" i="5"/>
  <c r="M49" i="5"/>
  <c r="I49" i="5"/>
  <c r="E49" i="5"/>
  <c r="P49" i="5"/>
  <c r="L49" i="5"/>
  <c r="H49" i="5"/>
  <c r="C49" i="5"/>
  <c r="A56" i="5"/>
  <c r="N52" i="5"/>
  <c r="J52" i="5"/>
  <c r="F52" i="5"/>
  <c r="M52" i="5"/>
  <c r="I52" i="5"/>
  <c r="E52" i="5"/>
  <c r="P52" i="5"/>
  <c r="L52" i="5"/>
  <c r="H52" i="5"/>
  <c r="C52" i="5"/>
  <c r="B52" i="5"/>
  <c r="O52" i="5"/>
  <c r="K52" i="5"/>
  <c r="G52" i="5"/>
  <c r="P54" i="5" l="1"/>
  <c r="L54" i="5"/>
  <c r="H54" i="5"/>
  <c r="C54" i="5"/>
  <c r="O54" i="5"/>
  <c r="K54" i="5"/>
  <c r="G54" i="5"/>
  <c r="B54" i="5"/>
  <c r="A58" i="5"/>
  <c r="N54" i="5"/>
  <c r="J54" i="5"/>
  <c r="F54" i="5"/>
  <c r="E54" i="5"/>
  <c r="M54" i="5"/>
  <c r="I54" i="5"/>
  <c r="M51" i="5"/>
  <c r="I51" i="5"/>
  <c r="E51" i="5"/>
  <c r="P51" i="5"/>
  <c r="L51" i="5"/>
  <c r="H51" i="5"/>
  <c r="C51" i="5"/>
  <c r="O51" i="5"/>
  <c r="K51" i="5"/>
  <c r="G51" i="5"/>
  <c r="B51" i="5"/>
  <c r="A55" i="5"/>
  <c r="N51" i="5"/>
  <c r="J51" i="5"/>
  <c r="F51" i="5"/>
  <c r="O53" i="5"/>
  <c r="K53" i="5"/>
  <c r="G53" i="5"/>
  <c r="B53" i="5"/>
  <c r="A57" i="5"/>
  <c r="N53" i="5"/>
  <c r="J53" i="5"/>
  <c r="F53" i="5"/>
  <c r="M53" i="5"/>
  <c r="I53" i="5"/>
  <c r="E53" i="5"/>
  <c r="C53" i="5"/>
  <c r="P53" i="5"/>
  <c r="L53" i="5"/>
  <c r="H53" i="5"/>
  <c r="N56" i="5"/>
  <c r="J56" i="5"/>
  <c r="F56" i="5"/>
  <c r="M56" i="5"/>
  <c r="I56" i="5"/>
  <c r="E56" i="5"/>
  <c r="P56" i="5"/>
  <c r="L56" i="5"/>
  <c r="H56" i="5"/>
  <c r="C56" i="5"/>
  <c r="G56" i="5"/>
  <c r="B56" i="5"/>
  <c r="O56" i="5"/>
  <c r="K56" i="5"/>
  <c r="O57" i="5" l="1"/>
  <c r="K57" i="5"/>
  <c r="G57" i="5"/>
  <c r="B57" i="5"/>
  <c r="N57" i="5"/>
  <c r="J57" i="5"/>
  <c r="F57" i="5"/>
  <c r="M57" i="5"/>
  <c r="I57" i="5"/>
  <c r="E57" i="5"/>
  <c r="H57" i="5"/>
  <c r="C57" i="5"/>
  <c r="P57" i="5"/>
  <c r="L57" i="5"/>
  <c r="M55" i="5"/>
  <c r="I55" i="5"/>
  <c r="E55" i="5"/>
  <c r="P55" i="5"/>
  <c r="L55" i="5"/>
  <c r="H55" i="5"/>
  <c r="C55" i="5"/>
  <c r="O55" i="5"/>
  <c r="K55" i="5"/>
  <c r="G55" i="5"/>
  <c r="B55" i="5"/>
  <c r="F55" i="5"/>
  <c r="N55" i="5"/>
  <c r="J55" i="5"/>
  <c r="P58" i="5"/>
  <c r="L58" i="5"/>
  <c r="H58" i="5"/>
  <c r="C58" i="5"/>
  <c r="O58" i="5"/>
  <c r="K58" i="5"/>
  <c r="G58" i="5"/>
  <c r="B58" i="5"/>
  <c r="N58" i="5"/>
  <c r="J58" i="5"/>
  <c r="F58" i="5"/>
  <c r="I58" i="5"/>
  <c r="E58" i="5"/>
  <c r="M58" i="5"/>
</calcChain>
</file>

<file path=xl/sharedStrings.xml><?xml version="1.0" encoding="utf-8"?>
<sst xmlns="http://schemas.openxmlformats.org/spreadsheetml/2006/main" count="324" uniqueCount="117">
  <si>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</si>
  <si>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</si>
  <si>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</si>
  <si>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</si>
  <si>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AssetNum</t>
  </si>
  <si>
    <t>AssetType</t>
  </si>
  <si>
    <t>Asset</t>
  </si>
  <si>
    <t>Data</t>
  </si>
  <si>
    <t>Client financial records (tax returns, financial statements)</t>
  </si>
  <si>
    <t>Client personal information (names, TFNs, addresses)</t>
  </si>
  <si>
    <t>Business financial data (accounts, payroll, invoices)</t>
  </si>
  <si>
    <t>Staff credentials and authentication data</t>
  </si>
  <si>
    <t>Hardware</t>
  </si>
  <si>
    <t>OpenWRT router/firewall (primary network device)</t>
  </si>
  <si>
    <t>Staff Windows workstations (x8)</t>
  </si>
  <si>
    <t>File server (stores client and business records)</t>
  </si>
  <si>
    <t>Network switches and cabling</t>
  </si>
  <si>
    <t>Software</t>
  </si>
  <si>
    <t>OpenWRT firmware and firewall software</t>
  </si>
  <si>
    <t>Windows 10 OS on staff workstations</t>
  </si>
  <si>
    <t>Accounting software (client data processing)</t>
  </si>
  <si>
    <t>People</t>
  </si>
  <si>
    <t>IT support officer</t>
  </si>
  <si>
    <t>Administrative staff (x2)</t>
  </si>
  <si>
    <t>Accountants (x5)</t>
  </si>
  <si>
    <t>ThreatNum</t>
  </si>
  <si>
    <t>Threat</t>
  </si>
  <si>
    <t>VulnNum</t>
  </si>
  <si>
    <t>TVA</t>
  </si>
  <si>
    <t>Vulnerability</t>
  </si>
  <si>
    <t>Likelihood</t>
  </si>
  <si>
    <t>Impact</t>
  </si>
  <si>
    <t>Risk</t>
  </si>
  <si>
    <t>Rank</t>
  </si>
  <si>
    <t>People errors</t>
  </si>
  <si>
    <t>T1V1A1</t>
  </si>
  <si>
    <t>Staff emails client financial records to wrong recipient without encryption</t>
  </si>
  <si>
    <t>Moderate</t>
  </si>
  <si>
    <t>High</t>
  </si>
  <si>
    <t>T1V1A2</t>
  </si>
  <si>
    <t>Accountant accidently shares client personal info in unencrypted email attachment</t>
  </si>
  <si>
    <t>T1V1A6</t>
  </si>
  <si>
    <t>Staff member accidentally deletes critical client folder on file server</t>
  </si>
  <si>
    <t>Low</t>
  </si>
  <si>
    <t>T1V1A13</t>
  </si>
  <si>
    <t>Admin staff clicks phishing link due to lack of security awareness training</t>
  </si>
  <si>
    <t>Software attacks</t>
  </si>
  <si>
    <t>T2V1A1</t>
  </si>
  <si>
    <t>Ransomware encrypts client financial records via unpatched workstation vulnerability</t>
  </si>
  <si>
    <t>T2V1A4</t>
  </si>
  <si>
    <t>Brute-force attack on SSH (port 22) compromises router admin credentials</t>
  </si>
  <si>
    <t>T2V1A9</t>
  </si>
  <si>
    <t>OpenWRT firmware contains unpatched CVE exploited remotely via WAN interface</t>
  </si>
  <si>
    <t>T2V1A10</t>
  </si>
  <si>
    <t>Malware installed on Windows workstation via malicious email attachment</t>
  </si>
  <si>
    <t>Information extortion</t>
  </si>
  <si>
    <t>T3V1A1</t>
  </si>
  <si>
    <t>Attacker steals encrypted client tax records and demands ransom to prevent release</t>
  </si>
  <si>
    <t>T3V1A2</t>
  </si>
  <si>
    <t>Client personal data (TFNs) stolen and used as leverage in extortion demand</t>
  </si>
  <si>
    <t>Espionage and trespass</t>
  </si>
  <si>
    <t>T4V1A1</t>
  </si>
  <si>
    <t>Competitor gains unauthorised access to client financial records via network intrusion</t>
  </si>
  <si>
    <t>T4V1A4</t>
  </si>
  <si>
    <t>Attacker intercepts HTTP traffic to capture staff login credentials in plaintext</t>
  </si>
  <si>
    <t>Theft</t>
  </si>
  <si>
    <t>T5V1A7</t>
  </si>
  <si>
    <t>File server physically stolen from office, exposing all client records stored on it</t>
  </si>
  <si>
    <t>T5V1A6</t>
  </si>
  <si>
    <t>Staff laptop stolen containing locally cached client financial documents</t>
  </si>
  <si>
    <t>Technical hardware failures or errors</t>
  </si>
  <si>
    <t>T8V1A7</t>
  </si>
  <si>
    <t>File server hard disk failure causes permanent loss of client financial records</t>
  </si>
  <si>
    <t>T8V1A5</t>
  </si>
  <si>
    <t>OpenWRT router hardware failure causes complete loss of network connectivity</t>
  </si>
  <si>
    <t>Technical software failures or errors</t>
  </si>
  <si>
    <t>T9V1A11</t>
  </si>
  <si>
    <t>Accounting software crash corrupts active client tax return files mid-processing</t>
  </si>
  <si>
    <t>T9V1A9</t>
  </si>
  <si>
    <t>OpenWRT nftables firewall misconfiguration exposes management port 81 to WAN</t>
  </si>
  <si>
    <t>Sabotage and vandalism</t>
  </si>
  <si>
    <t>T11V1A5</t>
  </si>
  <si>
    <t>Disgruntled former staff member resets OpenWRT firewall rules removing all security</t>
  </si>
  <si>
    <t>T11V1A3</t>
  </si>
  <si>
    <t>Insider deliberately modifies business payroll data before termination</t>
  </si>
  <si>
    <t>IP compromises</t>
  </si>
  <si>
    <t>T12V1A3</t>
  </si>
  <si>
    <t>Business financial reports and proprietary client methodology leaked to competitor</t>
  </si>
  <si>
    <t>T12V1A1</t>
  </si>
  <si>
    <t>Client financial data published online breaching Australian Privacy Act obligations</t>
  </si>
  <si>
    <t>Do not edit any of the following sheets:</t>
  </si>
  <si>
    <t>AssetTypes</t>
  </si>
  <si>
    <t>RiskValues</t>
  </si>
  <si>
    <t>InfoSecThreats</t>
  </si>
  <si>
    <t>TVAMAtrix</t>
  </si>
  <si>
    <t>(but you should look at the TVAMatrix sheet)</t>
  </si>
  <si>
    <t>Network</t>
  </si>
  <si>
    <t>Processes</t>
  </si>
  <si>
    <t>Combined</t>
  </si>
  <si>
    <t>Very High</t>
  </si>
  <si>
    <t>Very Low</t>
  </si>
  <si>
    <t>Description</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</si>
  <si>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</si>
  <si>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</si>
  <si>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</si>
  <si>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</si>
  <si>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</si>
  <si>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Technological obsolescence</t>
  </si>
  <si>
    <t>Outdated tech</t>
  </si>
  <si>
    <t>Forces of nature</t>
  </si>
  <si>
    <t>E.g. cyclone, fire, flood &amp; lightening</t>
  </si>
  <si>
    <t>E.g. leaky capacitors, drive failure</t>
  </si>
  <si>
    <t>Bugs, code performance issues &amp; loopholes</t>
  </si>
  <si>
    <t>Changing quality of services</t>
  </si>
  <si>
    <t>E.g. blackout, brownout, Spike, NBN outage</t>
  </si>
  <si>
    <t>Destruction of assets</t>
  </si>
  <si>
    <t>Piracy &amp; copyright infringement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</si>
</sst>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20"/>
      <color theme="1"/>
      <name val="Calibri"/>
      <family val="2"/>
      <charset val="1"/>
    </font>
    <font>
      <sz val="11"/>
      <color theme="0" tint="-0.499984740745262"/>
      <name val="Calibri"/>
      <family val="2"/>
      <charset val="1"/>
    </font>
    <font>
      <b/>
      <sz val="10"/>
      <color theme="1"/>
      <name val="Calibri"/>
      <family val="2"/>
      <charset val="1"/>
    </font>
    <font>
      <b/>
      <sz val="11"/>
      <color theme="1"/>
      <name val="Calibri"/>
      <family val="2"/>
      <charset val="1"/>
    </font>
    <font>
      <b/>
      <sz val="8"/>
      <color theme="1"/>
      <name val="Calibri"/>
      <family val="2"/>
      <charset val="1"/>
    </font>
    <font>
      <b/>
      <sz val="11"/>
      <color theme="1"/>
      <name val="Calibri"/>
      <family val="2"/>
    </font>
    <font>
      <b/>
      <sz val="10"/>
      <color theme="1"/>
      <name val="Calibri"/>
      <family val="2"/>
    </font>
    <font>
      <b/>
      <sz val="11"/>
      <color theme="0" tint="-0.499984740745262"/>
      <name val="Calibri"/>
      <family val="2"/>
    </font>
  </fonts>
  <fills count="11">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2" fillId="0" borderId="0" xfId="0" applyFont="1" applyAlignment="1">
      <alignment horizontal="center"/>
    </xf>
    <xf numFmtId="0" fontId="0" fillId="0" borderId="0" xfId="0" applyAlignment="1">
      <alignment horizontal="center"/>
    </xf>
    <xf numFmtId="0" fontId="2" fillId="0" borderId="0" xfId="0" applyFont="1"/>
    <xf numFmtId="0" fontId="0" fillId="0" borderId="1" xfId="0" applyBorder="1" applyAlignment="1">
      <alignment horizontal="center"/>
    </xf>
    <xf numFmtId="0" fontId="6" fillId="3" borderId="1" xfId="0" applyFont="1" applyFill="1" applyBorder="1" applyAlignment="1">
      <alignment horizontal="center"/>
    </xf>
    <xf numFmtId="0" fontId="0" fillId="2" borderId="1" xfId="0" applyFill="1" applyBorder="1" applyAlignment="1">
      <alignment horizontal="center"/>
    </xf>
    <xf numFmtId="0" fontId="0" fillId="0" borderId="1" xfId="0" applyBorder="1"/>
    <xf numFmtId="0" fontId="6" fillId="4" borderId="1" xfId="0" applyFont="1" applyFill="1" applyBorder="1" applyAlignment="1">
      <alignment horizontal="center"/>
    </xf>
    <xf numFmtId="0" fontId="6" fillId="4" borderId="1" xfId="0" applyFont="1" applyFill="1" applyBorder="1"/>
    <xf numFmtId="0" fontId="0" fillId="5" borderId="1" xfId="0" applyFill="1" applyBorder="1"/>
    <xf numFmtId="0" fontId="0" fillId="6" borderId="1" xfId="0" applyFill="1" applyBorder="1" applyAlignment="1">
      <alignment horizontal="center"/>
    </xf>
    <xf numFmtId="0" fontId="6" fillId="5" borderId="1" xfId="0" applyFont="1" applyFill="1" applyBorder="1" applyAlignment="1">
      <alignment horizontal="center"/>
    </xf>
    <xf numFmtId="0" fontId="4" fillId="0" borderId="1" xfId="0" applyFont="1" applyBorder="1" applyAlignment="1">
      <alignment horizontal="center"/>
    </xf>
    <xf numFmtId="0" fontId="4" fillId="0" borderId="1" xfId="0" applyFont="1" applyBorder="1"/>
    <xf numFmtId="0" fontId="3" fillId="3"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4" fillId="4" borderId="1" xfId="0" applyFont="1" applyFill="1" applyBorder="1" applyAlignment="1">
      <alignment horizontal="center"/>
    </xf>
    <xf numFmtId="0" fontId="4" fillId="4" borderId="1" xfId="0" applyFont="1" applyFill="1" applyBorder="1"/>
    <xf numFmtId="0" fontId="0" fillId="5" borderId="1" xfId="0" applyFill="1" applyBorder="1" applyAlignment="1">
      <alignment horizontal="center"/>
    </xf>
    <xf numFmtId="0" fontId="0" fillId="2" borderId="1" xfId="0" applyFill="1" applyBorder="1"/>
    <xf numFmtId="0" fontId="0" fillId="7" borderId="1" xfId="0" applyFill="1" applyBorder="1"/>
    <xf numFmtId="0" fontId="2" fillId="0" borderId="1" xfId="0" applyFont="1" applyBorder="1"/>
    <xf numFmtId="0" fontId="2" fillId="0" borderId="1" xfId="0" applyFont="1" applyBorder="1" applyAlignment="1">
      <alignment horizontal="center"/>
    </xf>
    <xf numFmtId="0" fontId="3" fillId="8" borderId="1" xfId="0" applyFont="1" applyFill="1" applyBorder="1" applyAlignment="1">
      <alignment horizontal="center"/>
    </xf>
    <xf numFmtId="0" fontId="4" fillId="8" borderId="1" xfId="0" applyFont="1" applyFill="1" applyBorder="1"/>
    <xf numFmtId="0" fontId="4" fillId="8" borderId="1" xfId="0" applyFont="1" applyFill="1" applyBorder="1" applyAlignment="1">
      <alignment horizontal="center"/>
    </xf>
    <xf numFmtId="0" fontId="0" fillId="8" borderId="1" xfId="0" applyFill="1" applyBorder="1" applyAlignment="1">
      <alignment horizontal="center"/>
    </xf>
    <xf numFmtId="0" fontId="7" fillId="9" borderId="1" xfId="0" applyFont="1" applyFill="1" applyBorder="1" applyAlignment="1">
      <alignment horizontal="center"/>
    </xf>
    <xf numFmtId="0" fontId="8" fillId="9" borderId="1" xfId="0" applyFont="1" applyFill="1" applyBorder="1" applyAlignment="1">
      <alignment horizontal="center"/>
    </xf>
    <xf numFmtId="0" fontId="4" fillId="9" borderId="1" xfId="0" applyFont="1" applyFill="1" applyBorder="1"/>
    <xf numFmtId="0" fontId="0" fillId="10" borderId="1" xfId="0"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Normal="100" workbookViewId="0">
      <selection activeCell="B2" sqref="B2"/>
    </sheetView>
  </sheetViews>
  <sheetFormatPr defaultColWidth="8.6640625" defaultRowHeight="14.25" x14ac:dyDescent="0.45"/>
  <cols>
    <col min="1" max="1" width="22.73046875" customWidth="1"/>
    <col min="2" max="2" width="78" customWidth="1"/>
  </cols>
  <sheetData>
    <row r="1" spans="1:2" ht="26.25" customHeight="1" x14ac:dyDescent="0.75">
      <c r="A1" s="1" t="s">
        <v>0</v>
      </c>
    </row>
    <row r="2" spans="1:2" ht="294" customHeight="1" x14ac:dyDescent="0.45">
      <c r="B2" s="2" t="s">
        <v>1</v>
      </c>
    </row>
    <row r="5" spans="1:2" ht="243" customHeight="1" x14ac:dyDescent="0.45">
      <c r="A5" s="3" t="s">
        <v>2</v>
      </c>
      <c r="B5" s="4" t="s">
        <v>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zoomScaleNormal="100" workbookViewId="0">
      <pane ySplit="1" topLeftCell="A2" activePane="bottomLeft" state="frozen"/>
      <selection pane="bottomLeft" activeCell="C22" sqref="C22"/>
    </sheetView>
  </sheetViews>
  <sheetFormatPr defaultColWidth="8.6640625" defaultRowHeight="14.25" x14ac:dyDescent="0.45"/>
  <cols>
    <col min="1" max="1" width="8.3984375" style="5" bestFit="1" customWidth="1"/>
    <col min="2" max="2" width="9.1328125" bestFit="1" customWidth="1"/>
    <col min="3" max="3" width="46.3984375" bestFit="1" customWidth="1"/>
  </cols>
  <sheetData>
    <row r="1" spans="1:3" x14ac:dyDescent="0.45">
      <c r="A1" s="32" t="s">
        <v>4</v>
      </c>
      <c r="B1" s="34" t="s">
        <v>5</v>
      </c>
      <c r="C1" s="34" t="s">
        <v>6</v>
      </c>
    </row>
    <row r="2" spans="1:3" x14ac:dyDescent="0.45">
      <c r="A2" s="33">
        <v>1</v>
      </c>
      <c r="B2" s="35" t="s">
        <v>7</v>
      </c>
      <c r="C2" s="35" t="s">
        <v>8</v>
      </c>
    </row>
    <row r="3" spans="1:3" x14ac:dyDescent="0.45">
      <c r="A3" s="33">
        <v>2</v>
      </c>
      <c r="B3" s="35" t="s">
        <v>7</v>
      </c>
      <c r="C3" s="35" t="s">
        <v>9</v>
      </c>
    </row>
    <row r="4" spans="1:3" x14ac:dyDescent="0.45">
      <c r="A4" s="33">
        <v>3</v>
      </c>
      <c r="B4" s="35" t="s">
        <v>7</v>
      </c>
      <c r="C4" s="35" t="s">
        <v>10</v>
      </c>
    </row>
    <row r="5" spans="1:3" x14ac:dyDescent="0.45">
      <c r="A5" s="33">
        <v>4</v>
      </c>
      <c r="B5" s="35" t="s">
        <v>7</v>
      </c>
      <c r="C5" s="35" t="s">
        <v>11</v>
      </c>
    </row>
    <row r="6" spans="1:3" x14ac:dyDescent="0.45">
      <c r="A6" s="33">
        <v>5</v>
      </c>
      <c r="B6" s="35" t="s">
        <v>12</v>
      </c>
      <c r="C6" s="35" t="s">
        <v>13</v>
      </c>
    </row>
    <row r="7" spans="1:3" x14ac:dyDescent="0.45">
      <c r="A7" s="33">
        <v>6</v>
      </c>
      <c r="B7" s="35" t="s">
        <v>12</v>
      </c>
      <c r="C7" s="35" t="s">
        <v>14</v>
      </c>
    </row>
    <row r="8" spans="1:3" x14ac:dyDescent="0.45">
      <c r="A8" s="33">
        <v>7</v>
      </c>
      <c r="B8" s="35" t="s">
        <v>12</v>
      </c>
      <c r="C8" s="35" t="s">
        <v>15</v>
      </c>
    </row>
    <row r="9" spans="1:3" x14ac:dyDescent="0.45">
      <c r="A9" s="33">
        <v>8</v>
      </c>
      <c r="B9" s="35" t="s">
        <v>12</v>
      </c>
      <c r="C9" s="35" t="s">
        <v>16</v>
      </c>
    </row>
    <row r="10" spans="1:3" x14ac:dyDescent="0.45">
      <c r="A10" s="33">
        <v>9</v>
      </c>
      <c r="B10" s="35" t="s">
        <v>17</v>
      </c>
      <c r="C10" s="35" t="s">
        <v>18</v>
      </c>
    </row>
    <row r="11" spans="1:3" x14ac:dyDescent="0.45">
      <c r="A11" s="33">
        <v>10</v>
      </c>
      <c r="B11" s="35" t="s">
        <v>17</v>
      </c>
      <c r="C11" s="35" t="s">
        <v>19</v>
      </c>
    </row>
    <row r="12" spans="1:3" x14ac:dyDescent="0.45">
      <c r="A12" s="33">
        <v>11</v>
      </c>
      <c r="B12" s="35" t="s">
        <v>17</v>
      </c>
      <c r="C12" s="35" t="s">
        <v>20</v>
      </c>
    </row>
    <row r="13" spans="1:3" x14ac:dyDescent="0.45">
      <c r="A13" s="33">
        <v>12</v>
      </c>
      <c r="B13" s="35" t="s">
        <v>21</v>
      </c>
      <c r="C13" s="35" t="s">
        <v>22</v>
      </c>
    </row>
    <row r="14" spans="1:3" x14ac:dyDescent="0.45">
      <c r="A14" s="33">
        <v>13</v>
      </c>
      <c r="B14" s="35" t="s">
        <v>21</v>
      </c>
      <c r="C14" s="35" t="s">
        <v>23</v>
      </c>
    </row>
    <row r="15" spans="1:3" x14ac:dyDescent="0.45">
      <c r="A15" s="33">
        <v>14</v>
      </c>
      <c r="B15" s="35" t="s">
        <v>21</v>
      </c>
      <c r="C15" s="35" t="s">
        <v>24</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1"/>
  <sheetViews>
    <sheetView zoomScaleNormal="100" workbookViewId="0">
      <pane ySplit="1" topLeftCell="A2" activePane="bottomLeft" state="frozen"/>
      <selection pane="bottomLeft" activeCell="B10" sqref="B10"/>
    </sheetView>
  </sheetViews>
  <sheetFormatPr defaultColWidth="8.6640625" defaultRowHeight="14.25" x14ac:dyDescent="0.45"/>
  <cols>
    <col min="1" max="1" width="13.59765625" style="6" bestFit="1" customWidth="1"/>
    <col min="2" max="2" width="29.9296875" style="7" bestFit="1" customWidth="1"/>
    <col min="3" max="3" width="12.796875" style="6" bestFit="1" customWidth="1"/>
    <col min="4" max="4" width="11.33203125" style="7" bestFit="1" customWidth="1"/>
    <col min="5" max="5" width="46.3984375" style="7" bestFit="1" customWidth="1"/>
    <col min="6" max="6" width="12.1328125" style="6" bestFit="1" customWidth="1"/>
    <col min="7" max="7" width="8.3984375" style="5" bestFit="1" customWidth="1"/>
    <col min="8" max="8" width="68.9296875" bestFit="1" customWidth="1"/>
    <col min="9" max="9" width="13.53125" style="6" bestFit="1" customWidth="1"/>
    <col min="10" max="10" width="10.73046875" style="6" customWidth="1"/>
    <col min="11" max="11" width="8.3984375" style="5" bestFit="1" customWidth="1"/>
    <col min="12" max="12" width="6.9296875" bestFit="1" customWidth="1"/>
  </cols>
  <sheetData>
    <row r="1" spans="1:12" x14ac:dyDescent="0.45">
      <c r="A1" s="28" t="s">
        <v>25</v>
      </c>
      <c r="B1" s="29" t="s">
        <v>26</v>
      </c>
      <c r="C1" s="28" t="s">
        <v>4</v>
      </c>
      <c r="D1" s="29" t="s">
        <v>5</v>
      </c>
      <c r="E1" s="29" t="s">
        <v>6</v>
      </c>
      <c r="F1" s="28" t="s">
        <v>27</v>
      </c>
      <c r="G1" s="30" t="s">
        <v>28</v>
      </c>
      <c r="H1" s="29" t="s">
        <v>29</v>
      </c>
      <c r="I1" s="30" t="s">
        <v>30</v>
      </c>
      <c r="J1" s="30" t="s">
        <v>31</v>
      </c>
      <c r="K1" s="30" t="s">
        <v>32</v>
      </c>
      <c r="L1" s="29" t="s">
        <v>33</v>
      </c>
    </row>
    <row r="2" spans="1:12" x14ac:dyDescent="0.45">
      <c r="A2" s="31">
        <v>1</v>
      </c>
      <c r="B2" s="26" t="s">
        <v>34</v>
      </c>
      <c r="C2" s="8">
        <v>1</v>
      </c>
      <c r="D2" s="26" t="s">
        <v>7</v>
      </c>
      <c r="E2" s="26" t="s">
        <v>8</v>
      </c>
      <c r="F2" s="8">
        <v>1</v>
      </c>
      <c r="G2" s="27" t="s">
        <v>35</v>
      </c>
      <c r="H2" s="11" t="s">
        <v>36</v>
      </c>
      <c r="I2" s="8" t="s">
        <v>37</v>
      </c>
      <c r="J2" s="8" t="s">
        <v>38</v>
      </c>
      <c r="K2" s="27"/>
      <c r="L2" s="11">
        <v>3</v>
      </c>
    </row>
    <row r="3" spans="1:12" x14ac:dyDescent="0.45">
      <c r="A3" s="31">
        <v>1</v>
      </c>
      <c r="B3" s="26" t="s">
        <v>34</v>
      </c>
      <c r="C3" s="8">
        <v>2</v>
      </c>
      <c r="D3" s="26" t="s">
        <v>7</v>
      </c>
      <c r="E3" s="26" t="s">
        <v>9</v>
      </c>
      <c r="F3" s="8">
        <v>1</v>
      </c>
      <c r="G3" s="27" t="s">
        <v>39</v>
      </c>
      <c r="H3" s="11" t="s">
        <v>40</v>
      </c>
      <c r="I3" s="8" t="s">
        <v>37</v>
      </c>
      <c r="J3" s="8" t="s">
        <v>38</v>
      </c>
      <c r="K3" s="27"/>
      <c r="L3" s="11">
        <v>4</v>
      </c>
    </row>
    <row r="4" spans="1:12" x14ac:dyDescent="0.45">
      <c r="A4" s="31">
        <v>1</v>
      </c>
      <c r="B4" s="26" t="s">
        <v>34</v>
      </c>
      <c r="C4" s="8">
        <v>6</v>
      </c>
      <c r="D4" s="26" t="s">
        <v>12</v>
      </c>
      <c r="E4" s="26" t="s">
        <v>14</v>
      </c>
      <c r="F4" s="8">
        <v>1</v>
      </c>
      <c r="G4" s="27" t="s">
        <v>41</v>
      </c>
      <c r="H4" s="11" t="s">
        <v>42</v>
      </c>
      <c r="I4" s="8" t="s">
        <v>43</v>
      </c>
      <c r="J4" s="8" t="s">
        <v>38</v>
      </c>
      <c r="K4" s="27"/>
      <c r="L4" s="11">
        <v>6</v>
      </c>
    </row>
    <row r="5" spans="1:12" x14ac:dyDescent="0.45">
      <c r="A5" s="31">
        <v>1</v>
      </c>
      <c r="B5" s="26" t="s">
        <v>34</v>
      </c>
      <c r="C5" s="8">
        <v>13</v>
      </c>
      <c r="D5" s="26" t="s">
        <v>21</v>
      </c>
      <c r="E5" s="26" t="s">
        <v>23</v>
      </c>
      <c r="F5" s="8">
        <v>1</v>
      </c>
      <c r="G5" s="27" t="s">
        <v>44</v>
      </c>
      <c r="H5" s="11" t="s">
        <v>45</v>
      </c>
      <c r="I5" s="8" t="s">
        <v>37</v>
      </c>
      <c r="J5" s="8" t="s">
        <v>37</v>
      </c>
      <c r="K5" s="27"/>
      <c r="L5" s="11">
        <v>7</v>
      </c>
    </row>
    <row r="6" spans="1:12" x14ac:dyDescent="0.45">
      <c r="A6" s="31">
        <v>2</v>
      </c>
      <c r="B6" s="26" t="s">
        <v>46</v>
      </c>
      <c r="C6" s="8">
        <v>1</v>
      </c>
      <c r="D6" s="26" t="s">
        <v>7</v>
      </c>
      <c r="E6" s="26" t="s">
        <v>8</v>
      </c>
      <c r="F6" s="8">
        <v>1</v>
      </c>
      <c r="G6" s="27" t="s">
        <v>47</v>
      </c>
      <c r="H6" s="11" t="s">
        <v>48</v>
      </c>
      <c r="I6" s="8" t="s">
        <v>37</v>
      </c>
      <c r="J6" s="8" t="s">
        <v>38</v>
      </c>
      <c r="K6" s="27"/>
      <c r="L6" s="11">
        <v>1</v>
      </c>
    </row>
    <row r="7" spans="1:12" x14ac:dyDescent="0.45">
      <c r="A7" s="31">
        <v>2</v>
      </c>
      <c r="B7" s="26" t="s">
        <v>46</v>
      </c>
      <c r="C7" s="8">
        <v>4</v>
      </c>
      <c r="D7" s="26" t="s">
        <v>7</v>
      </c>
      <c r="E7" s="26" t="s">
        <v>11</v>
      </c>
      <c r="F7" s="8">
        <v>1</v>
      </c>
      <c r="G7" s="27" t="s">
        <v>49</v>
      </c>
      <c r="H7" s="11" t="s">
        <v>50</v>
      </c>
      <c r="I7" s="8" t="s">
        <v>37</v>
      </c>
      <c r="J7" s="8" t="s">
        <v>38</v>
      </c>
      <c r="K7" s="27"/>
      <c r="L7" s="11">
        <v>2</v>
      </c>
    </row>
    <row r="8" spans="1:12" x14ac:dyDescent="0.45">
      <c r="A8" s="31">
        <v>2</v>
      </c>
      <c r="B8" s="26" t="s">
        <v>46</v>
      </c>
      <c r="C8" s="8">
        <v>9</v>
      </c>
      <c r="D8" s="26" t="s">
        <v>17</v>
      </c>
      <c r="E8" s="26" t="s">
        <v>18</v>
      </c>
      <c r="F8" s="8">
        <v>1</v>
      </c>
      <c r="G8" s="27" t="s">
        <v>51</v>
      </c>
      <c r="H8" s="11" t="s">
        <v>52</v>
      </c>
      <c r="I8" s="8" t="s">
        <v>43</v>
      </c>
      <c r="J8" s="8" t="s">
        <v>38</v>
      </c>
      <c r="K8" s="27"/>
      <c r="L8" s="11">
        <v>5</v>
      </c>
    </row>
    <row r="9" spans="1:12" x14ac:dyDescent="0.45">
      <c r="A9" s="31">
        <v>2</v>
      </c>
      <c r="B9" s="26" t="s">
        <v>46</v>
      </c>
      <c r="C9" s="8">
        <v>10</v>
      </c>
      <c r="D9" s="26" t="s">
        <v>17</v>
      </c>
      <c r="E9" s="26" t="s">
        <v>19</v>
      </c>
      <c r="F9" s="8">
        <v>1</v>
      </c>
      <c r="G9" s="27" t="s">
        <v>53</v>
      </c>
      <c r="H9" s="11" t="s">
        <v>54</v>
      </c>
      <c r="I9" s="8" t="s">
        <v>37</v>
      </c>
      <c r="J9" s="8" t="s">
        <v>37</v>
      </c>
      <c r="K9" s="27"/>
      <c r="L9" s="11">
        <v>8</v>
      </c>
    </row>
    <row r="10" spans="1:12" x14ac:dyDescent="0.45">
      <c r="A10" s="31">
        <v>3</v>
      </c>
      <c r="B10" s="26" t="s">
        <v>55</v>
      </c>
      <c r="C10" s="8">
        <v>1</v>
      </c>
      <c r="D10" s="26" t="s">
        <v>7</v>
      </c>
      <c r="E10" s="26" t="s">
        <v>8</v>
      </c>
      <c r="F10" s="8">
        <v>1</v>
      </c>
      <c r="G10" s="27" t="s">
        <v>56</v>
      </c>
      <c r="H10" s="11" t="s">
        <v>57</v>
      </c>
      <c r="I10" s="8" t="s">
        <v>43</v>
      </c>
      <c r="J10" s="8" t="s">
        <v>38</v>
      </c>
      <c r="K10" s="27"/>
      <c r="L10" s="11">
        <v>9</v>
      </c>
    </row>
    <row r="11" spans="1:12" x14ac:dyDescent="0.45">
      <c r="A11" s="31">
        <v>3</v>
      </c>
      <c r="B11" s="26" t="s">
        <v>55</v>
      </c>
      <c r="C11" s="8">
        <v>2</v>
      </c>
      <c r="D11" s="26" t="s">
        <v>7</v>
      </c>
      <c r="E11" s="26" t="s">
        <v>9</v>
      </c>
      <c r="F11" s="8">
        <v>1</v>
      </c>
      <c r="G11" s="27" t="s">
        <v>58</v>
      </c>
      <c r="H11" s="11" t="s">
        <v>59</v>
      </c>
      <c r="I11" s="8" t="s">
        <v>43</v>
      </c>
      <c r="J11" s="8" t="s">
        <v>38</v>
      </c>
      <c r="K11" s="27"/>
      <c r="L11" s="11">
        <v>10</v>
      </c>
    </row>
    <row r="12" spans="1:12" x14ac:dyDescent="0.45">
      <c r="A12" s="31">
        <v>4</v>
      </c>
      <c r="B12" s="26" t="s">
        <v>60</v>
      </c>
      <c r="C12" s="8">
        <v>1</v>
      </c>
      <c r="D12" s="26" t="s">
        <v>7</v>
      </c>
      <c r="E12" s="26" t="s">
        <v>8</v>
      </c>
      <c r="F12" s="8">
        <v>1</v>
      </c>
      <c r="G12" s="27" t="s">
        <v>61</v>
      </c>
      <c r="H12" s="11" t="s">
        <v>62</v>
      </c>
      <c r="I12" s="8" t="s">
        <v>43</v>
      </c>
      <c r="J12" s="8" t="s">
        <v>38</v>
      </c>
      <c r="K12" s="27"/>
      <c r="L12" s="11">
        <v>11</v>
      </c>
    </row>
    <row r="13" spans="1:12" x14ac:dyDescent="0.45">
      <c r="A13" s="31">
        <v>4</v>
      </c>
      <c r="B13" s="26" t="s">
        <v>60</v>
      </c>
      <c r="C13" s="8">
        <v>4</v>
      </c>
      <c r="D13" s="26" t="s">
        <v>7</v>
      </c>
      <c r="E13" s="26" t="s">
        <v>11</v>
      </c>
      <c r="F13" s="8">
        <v>1</v>
      </c>
      <c r="G13" s="27" t="s">
        <v>63</v>
      </c>
      <c r="H13" s="11" t="s">
        <v>64</v>
      </c>
      <c r="I13" s="8" t="s">
        <v>37</v>
      </c>
      <c r="J13" s="8" t="s">
        <v>38</v>
      </c>
      <c r="K13" s="27"/>
      <c r="L13" s="11">
        <v>12</v>
      </c>
    </row>
    <row r="14" spans="1:12" x14ac:dyDescent="0.45">
      <c r="A14" s="31">
        <v>5</v>
      </c>
      <c r="B14" s="26" t="s">
        <v>65</v>
      </c>
      <c r="C14" s="8">
        <v>7</v>
      </c>
      <c r="D14" s="26" t="s">
        <v>12</v>
      </c>
      <c r="E14" s="26" t="s">
        <v>15</v>
      </c>
      <c r="F14" s="8">
        <v>1</v>
      </c>
      <c r="G14" s="27" t="s">
        <v>66</v>
      </c>
      <c r="H14" s="11" t="s">
        <v>67</v>
      </c>
      <c r="I14" s="8" t="s">
        <v>43</v>
      </c>
      <c r="J14" s="8" t="s">
        <v>38</v>
      </c>
      <c r="K14" s="27"/>
      <c r="L14" s="11">
        <v>13</v>
      </c>
    </row>
    <row r="15" spans="1:12" x14ac:dyDescent="0.45">
      <c r="A15" s="31">
        <v>5</v>
      </c>
      <c r="B15" s="26" t="s">
        <v>65</v>
      </c>
      <c r="C15" s="8">
        <v>6</v>
      </c>
      <c r="D15" s="26" t="s">
        <v>12</v>
      </c>
      <c r="E15" s="26" t="s">
        <v>14</v>
      </c>
      <c r="F15" s="8">
        <v>1</v>
      </c>
      <c r="G15" s="27" t="s">
        <v>68</v>
      </c>
      <c r="H15" s="11" t="s">
        <v>69</v>
      </c>
      <c r="I15" s="8" t="s">
        <v>43</v>
      </c>
      <c r="J15" s="8" t="s">
        <v>37</v>
      </c>
      <c r="K15" s="27"/>
      <c r="L15" s="11">
        <v>14</v>
      </c>
    </row>
    <row r="16" spans="1:12" x14ac:dyDescent="0.45">
      <c r="A16" s="31">
        <v>8</v>
      </c>
      <c r="B16" s="26" t="s">
        <v>70</v>
      </c>
      <c r="C16" s="8">
        <v>7</v>
      </c>
      <c r="D16" s="26" t="s">
        <v>12</v>
      </c>
      <c r="E16" s="26" t="s">
        <v>15</v>
      </c>
      <c r="F16" s="8">
        <v>1</v>
      </c>
      <c r="G16" s="27" t="s">
        <v>71</v>
      </c>
      <c r="H16" s="11" t="s">
        <v>72</v>
      </c>
      <c r="I16" s="8" t="s">
        <v>37</v>
      </c>
      <c r="J16" s="8" t="s">
        <v>38</v>
      </c>
      <c r="K16" s="27"/>
      <c r="L16" s="11">
        <v>15</v>
      </c>
    </row>
    <row r="17" spans="1:12" x14ac:dyDescent="0.45">
      <c r="A17" s="31">
        <v>8</v>
      </c>
      <c r="B17" s="26" t="s">
        <v>70</v>
      </c>
      <c r="C17" s="8">
        <v>5</v>
      </c>
      <c r="D17" s="26" t="s">
        <v>12</v>
      </c>
      <c r="E17" s="26" t="s">
        <v>13</v>
      </c>
      <c r="F17" s="8">
        <v>1</v>
      </c>
      <c r="G17" s="27" t="s">
        <v>73</v>
      </c>
      <c r="H17" s="11" t="s">
        <v>74</v>
      </c>
      <c r="I17" s="8" t="s">
        <v>43</v>
      </c>
      <c r="J17" s="8" t="s">
        <v>37</v>
      </c>
      <c r="K17" s="27"/>
      <c r="L17" s="11">
        <v>16</v>
      </c>
    </row>
    <row r="18" spans="1:12" x14ac:dyDescent="0.45">
      <c r="A18" s="31">
        <v>9</v>
      </c>
      <c r="B18" s="26" t="s">
        <v>75</v>
      </c>
      <c r="C18" s="8">
        <v>11</v>
      </c>
      <c r="D18" s="26" t="s">
        <v>17</v>
      </c>
      <c r="E18" s="26" t="s">
        <v>20</v>
      </c>
      <c r="F18" s="8">
        <v>1</v>
      </c>
      <c r="G18" s="27" t="s">
        <v>76</v>
      </c>
      <c r="H18" s="11" t="s">
        <v>77</v>
      </c>
      <c r="I18" s="8" t="s">
        <v>37</v>
      </c>
      <c r="J18" s="8" t="s">
        <v>37</v>
      </c>
      <c r="K18" s="27"/>
      <c r="L18" s="11">
        <v>17</v>
      </c>
    </row>
    <row r="19" spans="1:12" x14ac:dyDescent="0.45">
      <c r="A19" s="31">
        <v>9</v>
      </c>
      <c r="B19" s="26" t="s">
        <v>75</v>
      </c>
      <c r="C19" s="8">
        <v>9</v>
      </c>
      <c r="D19" s="26" t="s">
        <v>17</v>
      </c>
      <c r="E19" s="26" t="s">
        <v>18</v>
      </c>
      <c r="F19" s="8">
        <v>1</v>
      </c>
      <c r="G19" s="27" t="s">
        <v>78</v>
      </c>
      <c r="H19" s="11" t="s">
        <v>79</v>
      </c>
      <c r="I19" s="8" t="s">
        <v>43</v>
      </c>
      <c r="J19" s="8" t="s">
        <v>38</v>
      </c>
      <c r="K19" s="27"/>
      <c r="L19" s="11">
        <v>18</v>
      </c>
    </row>
    <row r="20" spans="1:12" x14ac:dyDescent="0.45">
      <c r="A20" s="31">
        <v>11</v>
      </c>
      <c r="B20" s="26" t="s">
        <v>80</v>
      </c>
      <c r="C20" s="8">
        <v>5</v>
      </c>
      <c r="D20" s="26" t="s">
        <v>12</v>
      </c>
      <c r="E20" s="26" t="s">
        <v>13</v>
      </c>
      <c r="F20" s="8">
        <v>1</v>
      </c>
      <c r="G20" s="27" t="s">
        <v>81</v>
      </c>
      <c r="H20" s="11" t="s">
        <v>82</v>
      </c>
      <c r="I20" s="8" t="s">
        <v>43</v>
      </c>
      <c r="J20" s="8" t="s">
        <v>38</v>
      </c>
      <c r="K20" s="27"/>
      <c r="L20" s="11">
        <v>19</v>
      </c>
    </row>
    <row r="21" spans="1:12" x14ac:dyDescent="0.45">
      <c r="A21" s="31">
        <v>11</v>
      </c>
      <c r="B21" s="26" t="s">
        <v>80</v>
      </c>
      <c r="C21" s="8">
        <v>3</v>
      </c>
      <c r="D21" s="26" t="s">
        <v>7</v>
      </c>
      <c r="E21" s="26" t="s">
        <v>10</v>
      </c>
      <c r="F21" s="8">
        <v>1</v>
      </c>
      <c r="G21" s="27" t="s">
        <v>83</v>
      </c>
      <c r="H21" s="11" t="s">
        <v>84</v>
      </c>
      <c r="I21" s="8" t="s">
        <v>43</v>
      </c>
      <c r="J21" s="8" t="s">
        <v>38</v>
      </c>
      <c r="K21" s="27"/>
      <c r="L21" s="11">
        <v>20</v>
      </c>
    </row>
    <row r="22" spans="1:12" x14ac:dyDescent="0.45">
      <c r="A22" s="31">
        <v>12</v>
      </c>
      <c r="B22" s="26" t="s">
        <v>85</v>
      </c>
      <c r="C22" s="8">
        <v>3</v>
      </c>
      <c r="D22" s="26" t="s">
        <v>7</v>
      </c>
      <c r="E22" s="26" t="s">
        <v>10</v>
      </c>
      <c r="F22" s="8">
        <v>1</v>
      </c>
      <c r="G22" s="27" t="s">
        <v>86</v>
      </c>
      <c r="H22" s="11" t="s">
        <v>87</v>
      </c>
      <c r="I22" s="8" t="s">
        <v>43</v>
      </c>
      <c r="J22" s="8" t="s">
        <v>37</v>
      </c>
      <c r="K22" s="27"/>
      <c r="L22" s="11">
        <v>21</v>
      </c>
    </row>
    <row r="23" spans="1:12" x14ac:dyDescent="0.45">
      <c r="A23" s="31">
        <v>12</v>
      </c>
      <c r="B23" s="26" t="s">
        <v>85</v>
      </c>
      <c r="C23" s="8">
        <v>1</v>
      </c>
      <c r="D23" s="26" t="s">
        <v>7</v>
      </c>
      <c r="E23" s="26" t="s">
        <v>8</v>
      </c>
      <c r="F23" s="8">
        <v>1</v>
      </c>
      <c r="G23" s="27" t="s">
        <v>88</v>
      </c>
      <c r="H23" s="11" t="s">
        <v>89</v>
      </c>
      <c r="I23" s="8" t="s">
        <v>43</v>
      </c>
      <c r="J23" s="8" t="s">
        <v>38</v>
      </c>
      <c r="K23" s="27"/>
      <c r="L23" s="11">
        <v>22</v>
      </c>
    </row>
    <row r="101" spans="2:11" x14ac:dyDescent="0.45">
      <c r="B101" s="7" t="str">
        <f>_xlfn.IFNA(VLOOKUP(A101,InfoSecThreats!A:B,2,FALSE()),"")</f>
        <v/>
      </c>
      <c r="D101" s="7" t="str">
        <f>_xlfn.IFNA(VLOOKUP(Vulnerabilities!C101,Assets!A:C,2,FALSE()),"")</f>
        <v/>
      </c>
      <c r="E101" s="7" t="str">
        <f>_xlfn.IFNA(VLOOKUP(Vulnerabilities!C101,Assets!A:C,3,FALSE()),"")</f>
        <v/>
      </c>
      <c r="G101" s="5" t="str">
        <f t="shared" ref="G101:G164" si="0">IF(ISBLANK(F101),"",_xlfn.CONCAT("T",A101,"V",F101,"A",C101))</f>
        <v/>
      </c>
      <c r="K101" s="5" t="str">
        <f>_xlfn.IFNA(VLOOKUP(_xlfn.CONCAT(I101,"|",J101),RiskValues!C:D,2,FALSE()),"")</f>
        <v/>
      </c>
    </row>
    <row r="102" spans="2:11" x14ac:dyDescent="0.45">
      <c r="B102" s="7" t="str">
        <f>_xlfn.IFNA(VLOOKUP(A102,InfoSecThreats!A:B,2,FALSE()),"")</f>
        <v/>
      </c>
      <c r="D102" s="7" t="str">
        <f>_xlfn.IFNA(VLOOKUP(Vulnerabilities!C102,Assets!A:C,2,FALSE()),"")</f>
        <v/>
      </c>
      <c r="E102" s="7" t="str">
        <f>_xlfn.IFNA(VLOOKUP(Vulnerabilities!C102,Assets!A:C,3,FALSE()),"")</f>
        <v/>
      </c>
      <c r="G102" s="5" t="str">
        <f t="shared" si="0"/>
        <v/>
      </c>
      <c r="K102" s="5" t="str">
        <f>_xlfn.IFNA(VLOOKUP(_xlfn.CONCAT(I102,"|",J102),RiskValues!C:D,2,FALSE()),"")</f>
        <v/>
      </c>
    </row>
    <row r="103" spans="2:11" x14ac:dyDescent="0.45">
      <c r="B103" s="7" t="str">
        <f>_xlfn.IFNA(VLOOKUP(A103,InfoSecThreats!A:B,2,FALSE()),"")</f>
        <v/>
      </c>
      <c r="D103" s="7" t="str">
        <f>_xlfn.IFNA(VLOOKUP(Vulnerabilities!C103,Assets!A:C,2,FALSE()),"")</f>
        <v/>
      </c>
      <c r="E103" s="7" t="str">
        <f>_xlfn.IFNA(VLOOKUP(Vulnerabilities!C103,Assets!A:C,3,FALSE()),"")</f>
        <v/>
      </c>
      <c r="G103" s="5" t="str">
        <f t="shared" si="0"/>
        <v/>
      </c>
      <c r="K103" s="5" t="str">
        <f>_xlfn.IFNA(VLOOKUP(_xlfn.CONCAT(I103,"|",J103),RiskValues!C:D,2,FALSE()),"")</f>
        <v/>
      </c>
    </row>
    <row r="104" spans="2:11" x14ac:dyDescent="0.45">
      <c r="B104" s="7" t="str">
        <f>_xlfn.IFNA(VLOOKUP(A104,InfoSecThreats!A:B,2,FALSE()),"")</f>
        <v/>
      </c>
      <c r="D104" s="7" t="str">
        <f>_xlfn.IFNA(VLOOKUP(Vulnerabilities!C104,Assets!A:C,2,FALSE()),"")</f>
        <v/>
      </c>
      <c r="E104" s="7" t="str">
        <f>_xlfn.IFNA(VLOOKUP(Vulnerabilities!C104,Assets!A:C,3,FALSE()),"")</f>
        <v/>
      </c>
      <c r="G104" s="5" t="str">
        <f t="shared" si="0"/>
        <v/>
      </c>
      <c r="K104" s="5" t="str">
        <f>_xlfn.IFNA(VLOOKUP(_xlfn.CONCAT(I104,"|",J104),RiskValues!C:D,2,FALSE()),"")</f>
        <v/>
      </c>
    </row>
    <row r="105" spans="2:11" x14ac:dyDescent="0.45">
      <c r="B105" s="7" t="str">
        <f>_xlfn.IFNA(VLOOKUP(A105,InfoSecThreats!A:B,2,FALSE()),"")</f>
        <v/>
      </c>
      <c r="D105" s="7" t="str">
        <f>_xlfn.IFNA(VLOOKUP(Vulnerabilities!C105,Assets!A:C,2,FALSE()),"")</f>
        <v/>
      </c>
      <c r="E105" s="7" t="str">
        <f>_xlfn.IFNA(VLOOKUP(Vulnerabilities!C105,Assets!A:C,3,FALSE()),"")</f>
        <v/>
      </c>
      <c r="G105" s="5" t="str">
        <f t="shared" si="0"/>
        <v/>
      </c>
      <c r="K105" s="5" t="str">
        <f>_xlfn.IFNA(VLOOKUP(_xlfn.CONCAT(I105,"|",J105),RiskValues!C:D,2,FALSE()),"")</f>
        <v/>
      </c>
    </row>
    <row r="106" spans="2:11" x14ac:dyDescent="0.45">
      <c r="B106" s="7" t="str">
        <f>_xlfn.IFNA(VLOOKUP(A106,InfoSecThreats!A:B,2,FALSE()),"")</f>
        <v/>
      </c>
      <c r="D106" s="7" t="str">
        <f>_xlfn.IFNA(VLOOKUP(Vulnerabilities!C106,Assets!A:C,2,FALSE()),"")</f>
        <v/>
      </c>
      <c r="E106" s="7" t="str">
        <f>_xlfn.IFNA(VLOOKUP(Vulnerabilities!C106,Assets!A:C,3,FALSE()),"")</f>
        <v/>
      </c>
      <c r="G106" s="5" t="str">
        <f t="shared" si="0"/>
        <v/>
      </c>
      <c r="K106" s="5" t="str">
        <f>_xlfn.IFNA(VLOOKUP(_xlfn.CONCAT(I106,"|",J106),RiskValues!C:D,2,FALSE()),"")</f>
        <v/>
      </c>
    </row>
    <row r="107" spans="2:11" x14ac:dyDescent="0.45">
      <c r="B107" s="7" t="str">
        <f>_xlfn.IFNA(VLOOKUP(A107,InfoSecThreats!A:B,2,FALSE()),"")</f>
        <v/>
      </c>
      <c r="D107" s="7" t="str">
        <f>_xlfn.IFNA(VLOOKUP(Vulnerabilities!C107,Assets!A:C,2,FALSE()),"")</f>
        <v/>
      </c>
      <c r="E107" s="7" t="str">
        <f>_xlfn.IFNA(VLOOKUP(Vulnerabilities!C107,Assets!A:C,3,FALSE()),"")</f>
        <v/>
      </c>
      <c r="G107" s="5" t="str">
        <f t="shared" si="0"/>
        <v/>
      </c>
      <c r="K107" s="5" t="str">
        <f>_xlfn.IFNA(VLOOKUP(_xlfn.CONCAT(I107,"|",J107),RiskValues!C:D,2,FALSE()),"")</f>
        <v/>
      </c>
    </row>
    <row r="108" spans="2:11" x14ac:dyDescent="0.45">
      <c r="B108" s="7" t="str">
        <f>_xlfn.IFNA(VLOOKUP(A108,InfoSecThreats!A:B,2,FALSE()),"")</f>
        <v/>
      </c>
      <c r="D108" s="7" t="str">
        <f>_xlfn.IFNA(VLOOKUP(Vulnerabilities!C108,Assets!A:C,2,FALSE()),"")</f>
        <v/>
      </c>
      <c r="E108" s="7" t="str">
        <f>_xlfn.IFNA(VLOOKUP(Vulnerabilities!C108,Assets!A:C,3,FALSE()),"")</f>
        <v/>
      </c>
      <c r="G108" s="5" t="str">
        <f t="shared" si="0"/>
        <v/>
      </c>
      <c r="K108" s="5" t="str">
        <f>_xlfn.IFNA(VLOOKUP(_xlfn.CONCAT(I108,"|",J108),RiskValues!C:D,2,FALSE()),"")</f>
        <v/>
      </c>
    </row>
    <row r="109" spans="2:11" x14ac:dyDescent="0.45">
      <c r="B109" s="7" t="str">
        <f>_xlfn.IFNA(VLOOKUP(A109,InfoSecThreats!A:B,2,FALSE()),"")</f>
        <v/>
      </c>
      <c r="D109" s="7" t="str">
        <f>_xlfn.IFNA(VLOOKUP(Vulnerabilities!C109,Assets!A:C,2,FALSE()),"")</f>
        <v/>
      </c>
      <c r="E109" s="7" t="str">
        <f>_xlfn.IFNA(VLOOKUP(Vulnerabilities!C109,Assets!A:C,3,FALSE()),"")</f>
        <v/>
      </c>
      <c r="G109" s="5" t="str">
        <f t="shared" si="0"/>
        <v/>
      </c>
      <c r="K109" s="5" t="str">
        <f>_xlfn.IFNA(VLOOKUP(_xlfn.CONCAT(I109,"|",J109),RiskValues!C:D,2,FALSE()),"")</f>
        <v/>
      </c>
    </row>
    <row r="110" spans="2:11" x14ac:dyDescent="0.45">
      <c r="B110" s="7" t="str">
        <f>_xlfn.IFNA(VLOOKUP(A110,InfoSecThreats!A:B,2,FALSE()),"")</f>
        <v/>
      </c>
      <c r="D110" s="7" t="str">
        <f>_xlfn.IFNA(VLOOKUP(Vulnerabilities!C110,Assets!A:C,2,FALSE()),"")</f>
        <v/>
      </c>
      <c r="E110" s="7" t="str">
        <f>_xlfn.IFNA(VLOOKUP(Vulnerabilities!C110,Assets!A:C,3,FALSE()),"")</f>
        <v/>
      </c>
      <c r="G110" s="5" t="str">
        <f t="shared" si="0"/>
        <v/>
      </c>
      <c r="K110" s="5" t="str">
        <f>_xlfn.IFNA(VLOOKUP(_xlfn.CONCAT(I110,"|",J110),RiskValues!C:D,2,FALSE()),"")</f>
        <v/>
      </c>
    </row>
    <row r="111" spans="2:11" x14ac:dyDescent="0.45">
      <c r="B111" s="7" t="str">
        <f>_xlfn.IFNA(VLOOKUP(A111,InfoSecThreats!A:B,2,FALSE()),"")</f>
        <v/>
      </c>
      <c r="D111" s="7" t="str">
        <f>_xlfn.IFNA(VLOOKUP(Vulnerabilities!C111,Assets!A:C,2,FALSE()),"")</f>
        <v/>
      </c>
      <c r="E111" s="7" t="str">
        <f>_xlfn.IFNA(VLOOKUP(Vulnerabilities!C111,Assets!A:C,3,FALSE()),"")</f>
        <v/>
      </c>
      <c r="G111" s="5" t="str">
        <f t="shared" si="0"/>
        <v/>
      </c>
      <c r="K111" s="5" t="str">
        <f>_xlfn.IFNA(VLOOKUP(_xlfn.CONCAT(I111,"|",J111),RiskValues!C:D,2,FALSE()),"")</f>
        <v/>
      </c>
    </row>
    <row r="112" spans="2:11" x14ac:dyDescent="0.45">
      <c r="B112" s="7" t="str">
        <f>_xlfn.IFNA(VLOOKUP(A112,InfoSecThreats!A:B,2,FALSE()),"")</f>
        <v/>
      </c>
      <c r="D112" s="7" t="str">
        <f>_xlfn.IFNA(VLOOKUP(Vulnerabilities!C112,Assets!A:C,2,FALSE()),"")</f>
        <v/>
      </c>
      <c r="E112" s="7" t="str">
        <f>_xlfn.IFNA(VLOOKUP(Vulnerabilities!C112,Assets!A:C,3,FALSE()),"")</f>
        <v/>
      </c>
      <c r="G112" s="5" t="str">
        <f t="shared" si="0"/>
        <v/>
      </c>
      <c r="K112" s="5" t="str">
        <f>_xlfn.IFNA(VLOOKUP(_xlfn.CONCAT(I112,"|",J112),RiskValues!C:D,2,FALSE()),"")</f>
        <v/>
      </c>
    </row>
    <row r="113" spans="2:11" x14ac:dyDescent="0.45">
      <c r="B113" s="7" t="str">
        <f>_xlfn.IFNA(VLOOKUP(A113,InfoSecThreats!A:B,2,FALSE()),"")</f>
        <v/>
      </c>
      <c r="D113" s="7" t="str">
        <f>_xlfn.IFNA(VLOOKUP(Vulnerabilities!C113,Assets!A:C,2,FALSE()),"")</f>
        <v/>
      </c>
      <c r="E113" s="7" t="str">
        <f>_xlfn.IFNA(VLOOKUP(Vulnerabilities!C113,Assets!A:C,3,FALSE()),"")</f>
        <v/>
      </c>
      <c r="G113" s="5" t="str">
        <f t="shared" si="0"/>
        <v/>
      </c>
      <c r="K113" s="5" t="str">
        <f>_xlfn.IFNA(VLOOKUP(_xlfn.CONCAT(I113,"|",J113),RiskValues!C:D,2,FALSE()),"")</f>
        <v/>
      </c>
    </row>
    <row r="114" spans="2:11" x14ac:dyDescent="0.45">
      <c r="B114" s="7" t="str">
        <f>_xlfn.IFNA(VLOOKUP(A114,InfoSecThreats!A:B,2,FALSE()),"")</f>
        <v/>
      </c>
      <c r="D114" s="7" t="str">
        <f>_xlfn.IFNA(VLOOKUP(Vulnerabilities!C114,Assets!A:C,2,FALSE()),"")</f>
        <v/>
      </c>
      <c r="E114" s="7" t="str">
        <f>_xlfn.IFNA(VLOOKUP(Vulnerabilities!C114,Assets!A:C,3,FALSE()),"")</f>
        <v/>
      </c>
      <c r="G114" s="5" t="str">
        <f t="shared" si="0"/>
        <v/>
      </c>
      <c r="K114" s="5" t="str">
        <f>_xlfn.IFNA(VLOOKUP(_xlfn.CONCAT(I114,"|",J114),RiskValues!C:D,2,FALSE()),"")</f>
        <v/>
      </c>
    </row>
    <row r="115" spans="2:11" x14ac:dyDescent="0.45">
      <c r="B115" s="7" t="str">
        <f>_xlfn.IFNA(VLOOKUP(A115,InfoSecThreats!A:B,2,FALSE()),"")</f>
        <v/>
      </c>
      <c r="D115" s="7" t="str">
        <f>_xlfn.IFNA(VLOOKUP(Vulnerabilities!C115,Assets!A:C,2,FALSE()),"")</f>
        <v/>
      </c>
      <c r="E115" s="7" t="str">
        <f>_xlfn.IFNA(VLOOKUP(Vulnerabilities!C115,Assets!A:C,3,FALSE()),"")</f>
        <v/>
      </c>
      <c r="G115" s="5" t="str">
        <f t="shared" si="0"/>
        <v/>
      </c>
      <c r="K115" s="5" t="str">
        <f>_xlfn.IFNA(VLOOKUP(_xlfn.CONCAT(I115,"|",J115),RiskValues!C:D,2,FALSE()),"")</f>
        <v/>
      </c>
    </row>
    <row r="116" spans="2:11" x14ac:dyDescent="0.45">
      <c r="B116" s="7" t="str">
        <f>_xlfn.IFNA(VLOOKUP(A116,InfoSecThreats!A:B,2,FALSE()),"")</f>
        <v/>
      </c>
      <c r="D116" s="7" t="str">
        <f>_xlfn.IFNA(VLOOKUP(Vulnerabilities!C116,Assets!A:C,2,FALSE()),"")</f>
        <v/>
      </c>
      <c r="E116" s="7" t="str">
        <f>_xlfn.IFNA(VLOOKUP(Vulnerabilities!C116,Assets!A:C,3,FALSE()),"")</f>
        <v/>
      </c>
      <c r="G116" s="5" t="str">
        <f t="shared" si="0"/>
        <v/>
      </c>
      <c r="K116" s="5" t="str">
        <f>_xlfn.IFNA(VLOOKUP(_xlfn.CONCAT(I116,"|",J116),RiskValues!C:D,2,FALSE()),"")</f>
        <v/>
      </c>
    </row>
    <row r="117" spans="2:11" x14ac:dyDescent="0.45">
      <c r="B117" s="7" t="str">
        <f>_xlfn.IFNA(VLOOKUP(A117,InfoSecThreats!A:B,2,FALSE()),"")</f>
        <v/>
      </c>
      <c r="D117" s="7" t="str">
        <f>_xlfn.IFNA(VLOOKUP(Vulnerabilities!C117,Assets!A:C,2,FALSE()),"")</f>
        <v/>
      </c>
      <c r="E117" s="7" t="str">
        <f>_xlfn.IFNA(VLOOKUP(Vulnerabilities!C117,Assets!A:C,3,FALSE()),"")</f>
        <v/>
      </c>
      <c r="G117" s="5" t="str">
        <f t="shared" si="0"/>
        <v/>
      </c>
      <c r="K117" s="5" t="str">
        <f>_xlfn.IFNA(VLOOKUP(_xlfn.CONCAT(I117,"|",J117),RiskValues!C:D,2,FALSE()),"")</f>
        <v/>
      </c>
    </row>
    <row r="118" spans="2:11" x14ac:dyDescent="0.45">
      <c r="B118" s="7" t="str">
        <f>_xlfn.IFNA(VLOOKUP(A118,InfoSecThreats!A:B,2,FALSE()),"")</f>
        <v/>
      </c>
      <c r="D118" s="7" t="str">
        <f>_xlfn.IFNA(VLOOKUP(Vulnerabilities!C118,Assets!A:C,2,FALSE()),"")</f>
        <v/>
      </c>
      <c r="E118" s="7" t="str">
        <f>_xlfn.IFNA(VLOOKUP(Vulnerabilities!C118,Assets!A:C,3,FALSE()),"")</f>
        <v/>
      </c>
      <c r="G118" s="5" t="str">
        <f t="shared" si="0"/>
        <v/>
      </c>
      <c r="K118" s="5" t="str">
        <f>_xlfn.IFNA(VLOOKUP(_xlfn.CONCAT(I118,"|",J118),RiskValues!C:D,2,FALSE()),"")</f>
        <v/>
      </c>
    </row>
    <row r="119" spans="2:11" x14ac:dyDescent="0.45">
      <c r="B119" s="7" t="str">
        <f>_xlfn.IFNA(VLOOKUP(A119,InfoSecThreats!A:B,2,FALSE()),"")</f>
        <v/>
      </c>
      <c r="D119" s="7" t="str">
        <f>_xlfn.IFNA(VLOOKUP(Vulnerabilities!C119,Assets!A:C,2,FALSE()),"")</f>
        <v/>
      </c>
      <c r="E119" s="7" t="str">
        <f>_xlfn.IFNA(VLOOKUP(Vulnerabilities!C119,Assets!A:C,3,FALSE()),"")</f>
        <v/>
      </c>
      <c r="G119" s="5" t="str">
        <f t="shared" si="0"/>
        <v/>
      </c>
      <c r="K119" s="5" t="str">
        <f>_xlfn.IFNA(VLOOKUP(_xlfn.CONCAT(I119,"|",J119),RiskValues!C:D,2,FALSE()),"")</f>
        <v/>
      </c>
    </row>
    <row r="120" spans="2:11" x14ac:dyDescent="0.45">
      <c r="B120" s="7" t="str">
        <f>_xlfn.IFNA(VLOOKUP(A120,InfoSecThreats!A:B,2,FALSE()),"")</f>
        <v/>
      </c>
      <c r="D120" s="7" t="str">
        <f>_xlfn.IFNA(VLOOKUP(Vulnerabilities!C120,Assets!A:C,2,FALSE()),"")</f>
        <v/>
      </c>
      <c r="E120" s="7" t="str">
        <f>_xlfn.IFNA(VLOOKUP(Vulnerabilities!C120,Assets!A:C,3,FALSE()),"")</f>
        <v/>
      </c>
      <c r="G120" s="5" t="str">
        <f t="shared" si="0"/>
        <v/>
      </c>
      <c r="K120" s="5" t="str">
        <f>_xlfn.IFNA(VLOOKUP(_xlfn.CONCAT(I120,"|",J120),RiskValues!C:D,2,FALSE()),"")</f>
        <v/>
      </c>
    </row>
    <row r="121" spans="2:11" x14ac:dyDescent="0.45">
      <c r="B121" s="7" t="str">
        <f>_xlfn.IFNA(VLOOKUP(A121,InfoSecThreats!A:B,2,FALSE()),"")</f>
        <v/>
      </c>
      <c r="D121" s="7" t="str">
        <f>_xlfn.IFNA(VLOOKUP(Vulnerabilities!C121,Assets!A:C,2,FALSE()),"")</f>
        <v/>
      </c>
      <c r="E121" s="7" t="str">
        <f>_xlfn.IFNA(VLOOKUP(Vulnerabilities!C121,Assets!A:C,3,FALSE()),"")</f>
        <v/>
      </c>
      <c r="G121" s="5" t="str">
        <f t="shared" si="0"/>
        <v/>
      </c>
      <c r="K121" s="5" t="str">
        <f>_xlfn.IFNA(VLOOKUP(_xlfn.CONCAT(I121,"|",J121),RiskValues!C:D,2,FALSE()),"")</f>
        <v/>
      </c>
    </row>
    <row r="122" spans="2:11" x14ac:dyDescent="0.45">
      <c r="B122" s="7" t="str">
        <f>_xlfn.IFNA(VLOOKUP(A122,InfoSecThreats!A:B,2,FALSE()),"")</f>
        <v/>
      </c>
      <c r="D122" s="7" t="str">
        <f>_xlfn.IFNA(VLOOKUP(Vulnerabilities!C122,Assets!A:C,2,FALSE()),"")</f>
        <v/>
      </c>
      <c r="E122" s="7" t="str">
        <f>_xlfn.IFNA(VLOOKUP(Vulnerabilities!C122,Assets!A:C,3,FALSE()),"")</f>
        <v/>
      </c>
      <c r="G122" s="5" t="str">
        <f t="shared" si="0"/>
        <v/>
      </c>
      <c r="K122" s="5" t="str">
        <f>_xlfn.IFNA(VLOOKUP(_xlfn.CONCAT(I122,"|",J122),RiskValues!C:D,2,FALSE()),"")</f>
        <v/>
      </c>
    </row>
    <row r="123" spans="2:11" x14ac:dyDescent="0.45">
      <c r="B123" s="7" t="str">
        <f>_xlfn.IFNA(VLOOKUP(A123,InfoSecThreats!A:B,2,FALSE()),"")</f>
        <v/>
      </c>
      <c r="D123" s="7" t="str">
        <f>_xlfn.IFNA(VLOOKUP(Vulnerabilities!C123,Assets!A:C,2,FALSE()),"")</f>
        <v/>
      </c>
      <c r="E123" s="7" t="str">
        <f>_xlfn.IFNA(VLOOKUP(Vulnerabilities!C123,Assets!A:C,3,FALSE()),"")</f>
        <v/>
      </c>
      <c r="G123" s="5" t="str">
        <f t="shared" si="0"/>
        <v/>
      </c>
      <c r="K123" s="5" t="str">
        <f>_xlfn.IFNA(VLOOKUP(_xlfn.CONCAT(I123,"|",J123),RiskValues!C:D,2,FALSE()),"")</f>
        <v/>
      </c>
    </row>
    <row r="124" spans="2:11" x14ac:dyDescent="0.45">
      <c r="B124" s="7" t="str">
        <f>_xlfn.IFNA(VLOOKUP(A124,InfoSecThreats!A:B,2,FALSE()),"")</f>
        <v/>
      </c>
      <c r="D124" s="7" t="str">
        <f>_xlfn.IFNA(VLOOKUP(Vulnerabilities!C124,Assets!A:C,2,FALSE()),"")</f>
        <v/>
      </c>
      <c r="E124" s="7" t="str">
        <f>_xlfn.IFNA(VLOOKUP(Vulnerabilities!C124,Assets!A:C,3,FALSE()),"")</f>
        <v/>
      </c>
      <c r="G124" s="5" t="str">
        <f t="shared" si="0"/>
        <v/>
      </c>
      <c r="K124" s="5" t="str">
        <f>_xlfn.IFNA(VLOOKUP(_xlfn.CONCAT(I124,"|",J124),RiskValues!C:D,2,FALSE()),"")</f>
        <v/>
      </c>
    </row>
    <row r="125" spans="2:11" x14ac:dyDescent="0.45">
      <c r="B125" s="7" t="str">
        <f>_xlfn.IFNA(VLOOKUP(A125,InfoSecThreats!A:B,2,FALSE()),"")</f>
        <v/>
      </c>
      <c r="D125" s="7" t="str">
        <f>_xlfn.IFNA(VLOOKUP(Vulnerabilities!C125,Assets!A:C,2,FALSE()),"")</f>
        <v/>
      </c>
      <c r="E125" s="7" t="str">
        <f>_xlfn.IFNA(VLOOKUP(Vulnerabilities!C125,Assets!A:C,3,FALSE()),"")</f>
        <v/>
      </c>
      <c r="G125" s="5" t="str">
        <f t="shared" si="0"/>
        <v/>
      </c>
      <c r="K125" s="5" t="str">
        <f>_xlfn.IFNA(VLOOKUP(_xlfn.CONCAT(I125,"|",J125),RiskValues!C:D,2,FALSE()),"")</f>
        <v/>
      </c>
    </row>
    <row r="126" spans="2:11" x14ac:dyDescent="0.45">
      <c r="B126" s="7" t="str">
        <f>_xlfn.IFNA(VLOOKUP(A126,InfoSecThreats!A:B,2,FALSE()),"")</f>
        <v/>
      </c>
      <c r="D126" s="7" t="str">
        <f>_xlfn.IFNA(VLOOKUP(Vulnerabilities!C126,Assets!A:C,2,FALSE()),"")</f>
        <v/>
      </c>
      <c r="E126" s="7" t="str">
        <f>_xlfn.IFNA(VLOOKUP(Vulnerabilities!C126,Assets!A:C,3,FALSE()),"")</f>
        <v/>
      </c>
      <c r="G126" s="5" t="str">
        <f t="shared" si="0"/>
        <v/>
      </c>
      <c r="K126" s="5" t="str">
        <f>_xlfn.IFNA(VLOOKUP(_xlfn.CONCAT(I126,"|",J126),RiskValues!C:D,2,FALSE()),"")</f>
        <v/>
      </c>
    </row>
    <row r="127" spans="2:11" x14ac:dyDescent="0.45">
      <c r="B127" s="7" t="str">
        <f>_xlfn.IFNA(VLOOKUP(A127,InfoSecThreats!A:B,2,FALSE()),"")</f>
        <v/>
      </c>
      <c r="D127" s="7" t="str">
        <f>_xlfn.IFNA(VLOOKUP(Vulnerabilities!C127,Assets!A:C,2,FALSE()),"")</f>
        <v/>
      </c>
      <c r="E127" s="7" t="str">
        <f>_xlfn.IFNA(VLOOKUP(Vulnerabilities!C127,Assets!A:C,3,FALSE()),"")</f>
        <v/>
      </c>
      <c r="G127" s="5" t="str">
        <f t="shared" si="0"/>
        <v/>
      </c>
      <c r="K127" s="5" t="str">
        <f>_xlfn.IFNA(VLOOKUP(_xlfn.CONCAT(I127,"|",J127),RiskValues!C:D,2,FALSE()),"")</f>
        <v/>
      </c>
    </row>
    <row r="128" spans="2:11" x14ac:dyDescent="0.45">
      <c r="B128" s="7" t="str">
        <f>_xlfn.IFNA(VLOOKUP(A128,InfoSecThreats!A:B,2,FALSE()),"")</f>
        <v/>
      </c>
      <c r="D128" s="7" t="str">
        <f>_xlfn.IFNA(VLOOKUP(Vulnerabilities!C128,Assets!A:C,2,FALSE()),"")</f>
        <v/>
      </c>
      <c r="E128" s="7" t="str">
        <f>_xlfn.IFNA(VLOOKUP(Vulnerabilities!C128,Assets!A:C,3,FALSE()),"")</f>
        <v/>
      </c>
      <c r="G128" s="5" t="str">
        <f t="shared" si="0"/>
        <v/>
      </c>
      <c r="K128" s="5" t="str">
        <f>_xlfn.IFNA(VLOOKUP(_xlfn.CONCAT(I128,"|",J128),RiskValues!C:D,2,FALSE()),"")</f>
        <v/>
      </c>
    </row>
    <row r="129" spans="2:11" x14ac:dyDescent="0.45">
      <c r="B129" s="7" t="str">
        <f>_xlfn.IFNA(VLOOKUP(A129,InfoSecThreats!A:B,2,FALSE()),"")</f>
        <v/>
      </c>
      <c r="D129" s="7" t="str">
        <f>_xlfn.IFNA(VLOOKUP(Vulnerabilities!C129,Assets!A:C,2,FALSE()),"")</f>
        <v/>
      </c>
      <c r="E129" s="7" t="str">
        <f>_xlfn.IFNA(VLOOKUP(Vulnerabilities!C129,Assets!A:C,3,FALSE()),"")</f>
        <v/>
      </c>
      <c r="G129" s="5" t="str">
        <f t="shared" si="0"/>
        <v/>
      </c>
      <c r="K129" s="5" t="str">
        <f>_xlfn.IFNA(VLOOKUP(_xlfn.CONCAT(I129,"|",J129),RiskValues!C:D,2,FALSE()),"")</f>
        <v/>
      </c>
    </row>
    <row r="130" spans="2:11" x14ac:dyDescent="0.45">
      <c r="B130" s="7" t="str">
        <f>_xlfn.IFNA(VLOOKUP(A130,InfoSecThreats!A:B,2,FALSE()),"")</f>
        <v/>
      </c>
      <c r="D130" s="7" t="str">
        <f>_xlfn.IFNA(VLOOKUP(Vulnerabilities!C130,Assets!A:C,2,FALSE()),"")</f>
        <v/>
      </c>
      <c r="E130" s="7" t="str">
        <f>_xlfn.IFNA(VLOOKUP(Vulnerabilities!C130,Assets!A:C,3,FALSE()),"")</f>
        <v/>
      </c>
      <c r="G130" s="5" t="str">
        <f t="shared" si="0"/>
        <v/>
      </c>
      <c r="K130" s="5" t="str">
        <f>_xlfn.IFNA(VLOOKUP(_xlfn.CONCAT(I130,"|",J130),RiskValues!C:D,2,FALSE()),"")</f>
        <v/>
      </c>
    </row>
    <row r="131" spans="2:11" x14ac:dyDescent="0.45">
      <c r="B131" s="7" t="str">
        <f>_xlfn.IFNA(VLOOKUP(A131,InfoSecThreats!A:B,2,FALSE()),"")</f>
        <v/>
      </c>
      <c r="D131" s="7" t="str">
        <f>_xlfn.IFNA(VLOOKUP(Vulnerabilities!C131,Assets!A:C,2,FALSE()),"")</f>
        <v/>
      </c>
      <c r="E131" s="7" t="str">
        <f>_xlfn.IFNA(VLOOKUP(Vulnerabilities!C131,Assets!A:C,3,FALSE()),"")</f>
        <v/>
      </c>
      <c r="G131" s="5" t="str">
        <f t="shared" si="0"/>
        <v/>
      </c>
      <c r="K131" s="5" t="str">
        <f>_xlfn.IFNA(VLOOKUP(_xlfn.CONCAT(I131,"|",J131),RiskValues!C:D,2,FALSE()),"")</f>
        <v/>
      </c>
    </row>
    <row r="132" spans="2:11" x14ac:dyDescent="0.45">
      <c r="B132" s="7" t="str">
        <f>_xlfn.IFNA(VLOOKUP(A132,InfoSecThreats!A:B,2,FALSE()),"")</f>
        <v/>
      </c>
      <c r="D132" s="7" t="str">
        <f>_xlfn.IFNA(VLOOKUP(Vulnerabilities!C132,Assets!A:C,2,FALSE()),"")</f>
        <v/>
      </c>
      <c r="E132" s="7" t="str">
        <f>_xlfn.IFNA(VLOOKUP(Vulnerabilities!C132,Assets!A:C,3,FALSE()),"")</f>
        <v/>
      </c>
      <c r="G132" s="5" t="str">
        <f t="shared" si="0"/>
        <v/>
      </c>
      <c r="K132" s="5" t="str">
        <f>_xlfn.IFNA(VLOOKUP(_xlfn.CONCAT(I132,"|",J132),RiskValues!C:D,2,FALSE()),"")</f>
        <v/>
      </c>
    </row>
    <row r="133" spans="2:11" x14ac:dyDescent="0.45">
      <c r="B133" s="7" t="str">
        <f>_xlfn.IFNA(VLOOKUP(A133,InfoSecThreats!A:B,2,FALSE()),"")</f>
        <v/>
      </c>
      <c r="D133" s="7" t="str">
        <f>_xlfn.IFNA(VLOOKUP(Vulnerabilities!C133,Assets!A:C,2,FALSE()),"")</f>
        <v/>
      </c>
      <c r="E133" s="7" t="str">
        <f>_xlfn.IFNA(VLOOKUP(Vulnerabilities!C133,Assets!A:C,3,FALSE()),"")</f>
        <v/>
      </c>
      <c r="G133" s="5" t="str">
        <f t="shared" si="0"/>
        <v/>
      </c>
      <c r="K133" s="5" t="str">
        <f>_xlfn.IFNA(VLOOKUP(_xlfn.CONCAT(I133,"|",J133),RiskValues!C:D,2,FALSE()),"")</f>
        <v/>
      </c>
    </row>
    <row r="134" spans="2:11" x14ac:dyDescent="0.45">
      <c r="B134" s="7" t="str">
        <f>_xlfn.IFNA(VLOOKUP(A134,InfoSecThreats!A:B,2,FALSE()),"")</f>
        <v/>
      </c>
      <c r="D134" s="7" t="str">
        <f>_xlfn.IFNA(VLOOKUP(Vulnerabilities!C134,Assets!A:C,2,FALSE()),"")</f>
        <v/>
      </c>
      <c r="E134" s="7" t="str">
        <f>_xlfn.IFNA(VLOOKUP(Vulnerabilities!C134,Assets!A:C,3,FALSE()),"")</f>
        <v/>
      </c>
      <c r="G134" s="5" t="str">
        <f t="shared" si="0"/>
        <v/>
      </c>
      <c r="K134" s="5" t="str">
        <f>_xlfn.IFNA(VLOOKUP(_xlfn.CONCAT(I134,"|",J134),RiskValues!C:D,2,FALSE()),"")</f>
        <v/>
      </c>
    </row>
    <row r="135" spans="2:11" x14ac:dyDescent="0.45">
      <c r="B135" s="7" t="str">
        <f>_xlfn.IFNA(VLOOKUP(A135,InfoSecThreats!A:B,2,FALSE()),"")</f>
        <v/>
      </c>
      <c r="D135" s="7" t="str">
        <f>_xlfn.IFNA(VLOOKUP(Vulnerabilities!C135,Assets!A:C,2,FALSE()),"")</f>
        <v/>
      </c>
      <c r="E135" s="7" t="str">
        <f>_xlfn.IFNA(VLOOKUP(Vulnerabilities!C135,Assets!A:C,3,FALSE()),"")</f>
        <v/>
      </c>
      <c r="G135" s="5" t="str">
        <f t="shared" si="0"/>
        <v/>
      </c>
      <c r="K135" s="5" t="str">
        <f>_xlfn.IFNA(VLOOKUP(_xlfn.CONCAT(I135,"|",J135),RiskValues!C:D,2,FALSE()),"")</f>
        <v/>
      </c>
    </row>
    <row r="136" spans="2:11" x14ac:dyDescent="0.45">
      <c r="B136" s="7" t="str">
        <f>_xlfn.IFNA(VLOOKUP(A136,InfoSecThreats!A:B,2,FALSE()),"")</f>
        <v/>
      </c>
      <c r="D136" s="7" t="str">
        <f>_xlfn.IFNA(VLOOKUP(Vulnerabilities!C136,Assets!A:C,2,FALSE()),"")</f>
        <v/>
      </c>
      <c r="E136" s="7" t="str">
        <f>_xlfn.IFNA(VLOOKUP(Vulnerabilities!C136,Assets!A:C,3,FALSE()),"")</f>
        <v/>
      </c>
      <c r="G136" s="5" t="str">
        <f t="shared" si="0"/>
        <v/>
      </c>
      <c r="K136" s="5" t="str">
        <f>_xlfn.IFNA(VLOOKUP(_xlfn.CONCAT(I136,"|",J136),RiskValues!C:D,2,FALSE()),"")</f>
        <v/>
      </c>
    </row>
    <row r="137" spans="2:11" x14ac:dyDescent="0.45">
      <c r="B137" s="7" t="str">
        <f>_xlfn.IFNA(VLOOKUP(A137,InfoSecThreats!A:B,2,FALSE()),"")</f>
        <v/>
      </c>
      <c r="D137" s="7" t="str">
        <f>_xlfn.IFNA(VLOOKUP(Vulnerabilities!C137,Assets!A:C,2,FALSE()),"")</f>
        <v/>
      </c>
      <c r="E137" s="7" t="str">
        <f>_xlfn.IFNA(VLOOKUP(Vulnerabilities!C137,Assets!A:C,3,FALSE()),"")</f>
        <v/>
      </c>
      <c r="G137" s="5" t="str">
        <f t="shared" si="0"/>
        <v/>
      </c>
      <c r="K137" s="5" t="str">
        <f>_xlfn.IFNA(VLOOKUP(_xlfn.CONCAT(I137,"|",J137),RiskValues!C:D,2,FALSE()),"")</f>
        <v/>
      </c>
    </row>
    <row r="138" spans="2:11" x14ac:dyDescent="0.45">
      <c r="B138" s="7" t="str">
        <f>_xlfn.IFNA(VLOOKUP(A138,InfoSecThreats!A:B,2,FALSE()),"")</f>
        <v/>
      </c>
      <c r="D138" s="7" t="str">
        <f>_xlfn.IFNA(VLOOKUP(Vulnerabilities!C138,Assets!A:C,2,FALSE()),"")</f>
        <v/>
      </c>
      <c r="E138" s="7" t="str">
        <f>_xlfn.IFNA(VLOOKUP(Vulnerabilities!C138,Assets!A:C,3,FALSE()),"")</f>
        <v/>
      </c>
      <c r="G138" s="5" t="str">
        <f t="shared" si="0"/>
        <v/>
      </c>
      <c r="K138" s="5" t="str">
        <f>_xlfn.IFNA(VLOOKUP(_xlfn.CONCAT(I138,"|",J138),RiskValues!C:D,2,FALSE()),"")</f>
        <v/>
      </c>
    </row>
    <row r="139" spans="2:11" x14ac:dyDescent="0.45">
      <c r="B139" s="7" t="str">
        <f>_xlfn.IFNA(VLOOKUP(A139,InfoSecThreats!A:B,2,FALSE()),"")</f>
        <v/>
      </c>
      <c r="D139" s="7" t="str">
        <f>_xlfn.IFNA(VLOOKUP(Vulnerabilities!C139,Assets!A:C,2,FALSE()),"")</f>
        <v/>
      </c>
      <c r="E139" s="7" t="str">
        <f>_xlfn.IFNA(VLOOKUP(Vulnerabilities!C139,Assets!A:C,3,FALSE()),"")</f>
        <v/>
      </c>
      <c r="G139" s="5" t="str">
        <f t="shared" si="0"/>
        <v/>
      </c>
      <c r="K139" s="5" t="str">
        <f>_xlfn.IFNA(VLOOKUP(_xlfn.CONCAT(I139,"|",J139),RiskValues!C:D,2,FALSE()),"")</f>
        <v/>
      </c>
    </row>
    <row r="140" spans="2:11" x14ac:dyDescent="0.45">
      <c r="B140" s="7" t="str">
        <f>_xlfn.IFNA(VLOOKUP(A140,InfoSecThreats!A:B,2,FALSE()),"")</f>
        <v/>
      </c>
      <c r="D140" s="7" t="str">
        <f>_xlfn.IFNA(VLOOKUP(Vulnerabilities!C140,Assets!A:C,2,FALSE()),"")</f>
        <v/>
      </c>
      <c r="E140" s="7" t="str">
        <f>_xlfn.IFNA(VLOOKUP(Vulnerabilities!C140,Assets!A:C,3,FALSE()),"")</f>
        <v/>
      </c>
      <c r="G140" s="5" t="str">
        <f t="shared" si="0"/>
        <v/>
      </c>
      <c r="K140" s="5" t="str">
        <f>_xlfn.IFNA(VLOOKUP(_xlfn.CONCAT(I140,"|",J140),RiskValues!C:D,2,FALSE()),"")</f>
        <v/>
      </c>
    </row>
    <row r="141" spans="2:11" x14ac:dyDescent="0.45">
      <c r="B141" s="7" t="str">
        <f>_xlfn.IFNA(VLOOKUP(A141,InfoSecThreats!A:B,2,FALSE()),"")</f>
        <v/>
      </c>
      <c r="D141" s="7" t="str">
        <f>_xlfn.IFNA(VLOOKUP(Vulnerabilities!C141,Assets!A:C,2,FALSE()),"")</f>
        <v/>
      </c>
      <c r="E141" s="7" t="str">
        <f>_xlfn.IFNA(VLOOKUP(Vulnerabilities!C141,Assets!A:C,3,FALSE()),"")</f>
        <v/>
      </c>
      <c r="G141" s="5" t="str">
        <f t="shared" si="0"/>
        <v/>
      </c>
      <c r="K141" s="5" t="str">
        <f>_xlfn.IFNA(VLOOKUP(_xlfn.CONCAT(I141,"|",J141),RiskValues!C:D,2,FALSE()),"")</f>
        <v/>
      </c>
    </row>
    <row r="142" spans="2:11" x14ac:dyDescent="0.45">
      <c r="B142" s="7" t="str">
        <f>_xlfn.IFNA(VLOOKUP(A142,InfoSecThreats!A:B,2,FALSE()),"")</f>
        <v/>
      </c>
      <c r="D142" s="7" t="str">
        <f>_xlfn.IFNA(VLOOKUP(Vulnerabilities!C142,Assets!A:C,2,FALSE()),"")</f>
        <v/>
      </c>
      <c r="E142" s="7" t="str">
        <f>_xlfn.IFNA(VLOOKUP(Vulnerabilities!C142,Assets!A:C,3,FALSE()),"")</f>
        <v/>
      </c>
      <c r="G142" s="5" t="str">
        <f t="shared" si="0"/>
        <v/>
      </c>
      <c r="K142" s="5" t="str">
        <f>_xlfn.IFNA(VLOOKUP(_xlfn.CONCAT(I142,"|",J142),RiskValues!C:D,2,FALSE()),"")</f>
        <v/>
      </c>
    </row>
    <row r="143" spans="2:11" x14ac:dyDescent="0.45">
      <c r="B143" s="7" t="str">
        <f>_xlfn.IFNA(VLOOKUP(A143,InfoSecThreats!A:B,2,FALSE()),"")</f>
        <v/>
      </c>
      <c r="D143" s="7" t="str">
        <f>_xlfn.IFNA(VLOOKUP(Vulnerabilities!C143,Assets!A:C,2,FALSE()),"")</f>
        <v/>
      </c>
      <c r="E143" s="7" t="str">
        <f>_xlfn.IFNA(VLOOKUP(Vulnerabilities!C143,Assets!A:C,3,FALSE()),"")</f>
        <v/>
      </c>
      <c r="G143" s="5" t="str">
        <f t="shared" si="0"/>
        <v/>
      </c>
      <c r="K143" s="5" t="str">
        <f>_xlfn.IFNA(VLOOKUP(_xlfn.CONCAT(I143,"|",J143),RiskValues!C:D,2,FALSE()),"")</f>
        <v/>
      </c>
    </row>
    <row r="144" spans="2:11" x14ac:dyDescent="0.45">
      <c r="B144" s="7" t="str">
        <f>_xlfn.IFNA(VLOOKUP(A144,InfoSecThreats!A:B,2,FALSE()),"")</f>
        <v/>
      </c>
      <c r="D144" s="7" t="str">
        <f>_xlfn.IFNA(VLOOKUP(Vulnerabilities!C144,Assets!A:C,2,FALSE()),"")</f>
        <v/>
      </c>
      <c r="E144" s="7" t="str">
        <f>_xlfn.IFNA(VLOOKUP(Vulnerabilities!C144,Assets!A:C,3,FALSE()),"")</f>
        <v/>
      </c>
      <c r="G144" s="5" t="str">
        <f t="shared" si="0"/>
        <v/>
      </c>
      <c r="K144" s="5" t="str">
        <f>_xlfn.IFNA(VLOOKUP(_xlfn.CONCAT(I144,"|",J144),RiskValues!C:D,2,FALSE()),"")</f>
        <v/>
      </c>
    </row>
    <row r="145" spans="2:11" x14ac:dyDescent="0.45">
      <c r="B145" s="7" t="str">
        <f>_xlfn.IFNA(VLOOKUP(A145,InfoSecThreats!A:B,2,FALSE()),"")</f>
        <v/>
      </c>
      <c r="D145" s="7" t="str">
        <f>_xlfn.IFNA(VLOOKUP(Vulnerabilities!C145,Assets!A:C,2,FALSE()),"")</f>
        <v/>
      </c>
      <c r="E145" s="7" t="str">
        <f>_xlfn.IFNA(VLOOKUP(Vulnerabilities!C145,Assets!A:C,3,FALSE()),"")</f>
        <v/>
      </c>
      <c r="G145" s="5" t="str">
        <f t="shared" si="0"/>
        <v/>
      </c>
      <c r="K145" s="5" t="str">
        <f>_xlfn.IFNA(VLOOKUP(_xlfn.CONCAT(I145,"|",J145),RiskValues!C:D,2,FALSE()),"")</f>
        <v/>
      </c>
    </row>
    <row r="146" spans="2:11" x14ac:dyDescent="0.45">
      <c r="B146" s="7" t="str">
        <f>_xlfn.IFNA(VLOOKUP(A146,InfoSecThreats!A:B,2,FALSE()),"")</f>
        <v/>
      </c>
      <c r="D146" s="7" t="str">
        <f>_xlfn.IFNA(VLOOKUP(Vulnerabilities!C146,Assets!A:C,2,FALSE()),"")</f>
        <v/>
      </c>
      <c r="E146" s="7" t="str">
        <f>_xlfn.IFNA(VLOOKUP(Vulnerabilities!C146,Assets!A:C,3,FALSE()),"")</f>
        <v/>
      </c>
      <c r="G146" s="5" t="str">
        <f t="shared" si="0"/>
        <v/>
      </c>
      <c r="K146" s="5" t="str">
        <f>_xlfn.IFNA(VLOOKUP(_xlfn.CONCAT(I146,"|",J146),RiskValues!C:D,2,FALSE()),"")</f>
        <v/>
      </c>
    </row>
    <row r="147" spans="2:11" x14ac:dyDescent="0.45">
      <c r="B147" s="7" t="str">
        <f>_xlfn.IFNA(VLOOKUP(A147,InfoSecThreats!A:B,2,FALSE()),"")</f>
        <v/>
      </c>
      <c r="D147" s="7" t="str">
        <f>_xlfn.IFNA(VLOOKUP(Vulnerabilities!C147,Assets!A:C,2,FALSE()),"")</f>
        <v/>
      </c>
      <c r="E147" s="7" t="str">
        <f>_xlfn.IFNA(VLOOKUP(Vulnerabilities!C147,Assets!A:C,3,FALSE()),"")</f>
        <v/>
      </c>
      <c r="G147" s="5" t="str">
        <f t="shared" si="0"/>
        <v/>
      </c>
      <c r="K147" s="5" t="str">
        <f>_xlfn.IFNA(VLOOKUP(_xlfn.CONCAT(I147,"|",J147),RiskValues!C:D,2,FALSE()),"")</f>
        <v/>
      </c>
    </row>
    <row r="148" spans="2:11" x14ac:dyDescent="0.45">
      <c r="B148" s="7" t="str">
        <f>_xlfn.IFNA(VLOOKUP(A148,InfoSecThreats!A:B,2,FALSE()),"")</f>
        <v/>
      </c>
      <c r="D148" s="7" t="str">
        <f>_xlfn.IFNA(VLOOKUP(Vulnerabilities!C148,Assets!A:C,2,FALSE()),"")</f>
        <v/>
      </c>
      <c r="E148" s="7" t="str">
        <f>_xlfn.IFNA(VLOOKUP(Vulnerabilities!C148,Assets!A:C,3,FALSE()),"")</f>
        <v/>
      </c>
      <c r="G148" s="5" t="str">
        <f t="shared" si="0"/>
        <v/>
      </c>
      <c r="K148" s="5" t="str">
        <f>_xlfn.IFNA(VLOOKUP(_xlfn.CONCAT(I148,"|",J148),RiskValues!C:D,2,FALSE()),"")</f>
        <v/>
      </c>
    </row>
    <row r="149" spans="2:11" x14ac:dyDescent="0.45">
      <c r="B149" s="7" t="str">
        <f>_xlfn.IFNA(VLOOKUP(A149,InfoSecThreats!A:B,2,FALSE()),"")</f>
        <v/>
      </c>
      <c r="D149" s="7" t="str">
        <f>_xlfn.IFNA(VLOOKUP(Vulnerabilities!C149,Assets!A:C,2,FALSE()),"")</f>
        <v/>
      </c>
      <c r="E149" s="7" t="str">
        <f>_xlfn.IFNA(VLOOKUP(Vulnerabilities!C149,Assets!A:C,3,FALSE()),"")</f>
        <v/>
      </c>
      <c r="G149" s="5" t="str">
        <f t="shared" si="0"/>
        <v/>
      </c>
      <c r="K149" s="5" t="str">
        <f>_xlfn.IFNA(VLOOKUP(_xlfn.CONCAT(I149,"|",J149),RiskValues!C:D,2,FALSE()),"")</f>
        <v/>
      </c>
    </row>
    <row r="150" spans="2:11" x14ac:dyDescent="0.45">
      <c r="B150" s="7" t="str">
        <f>_xlfn.IFNA(VLOOKUP(A150,InfoSecThreats!A:B,2,FALSE()),"")</f>
        <v/>
      </c>
      <c r="D150" s="7" t="str">
        <f>_xlfn.IFNA(VLOOKUP(Vulnerabilities!C150,Assets!A:C,2,FALSE()),"")</f>
        <v/>
      </c>
      <c r="E150" s="7" t="str">
        <f>_xlfn.IFNA(VLOOKUP(Vulnerabilities!C150,Assets!A:C,3,FALSE()),"")</f>
        <v/>
      </c>
      <c r="G150" s="5" t="str">
        <f t="shared" si="0"/>
        <v/>
      </c>
      <c r="K150" s="5" t="str">
        <f>_xlfn.IFNA(VLOOKUP(_xlfn.CONCAT(I150,"|",J150),RiskValues!C:D,2,FALSE()),"")</f>
        <v/>
      </c>
    </row>
    <row r="151" spans="2:11" x14ac:dyDescent="0.45">
      <c r="B151" s="7" t="str">
        <f>_xlfn.IFNA(VLOOKUP(A151,InfoSecThreats!A:B,2,FALSE()),"")</f>
        <v/>
      </c>
      <c r="D151" s="7" t="str">
        <f>_xlfn.IFNA(VLOOKUP(Vulnerabilities!C151,Assets!A:C,2,FALSE()),"")</f>
        <v/>
      </c>
      <c r="E151" s="7" t="str">
        <f>_xlfn.IFNA(VLOOKUP(Vulnerabilities!C151,Assets!A:C,3,FALSE()),"")</f>
        <v/>
      </c>
      <c r="G151" s="5" t="str">
        <f t="shared" si="0"/>
        <v/>
      </c>
      <c r="K151" s="5" t="str">
        <f>_xlfn.IFNA(VLOOKUP(_xlfn.CONCAT(I151,"|",J151),RiskValues!C:D,2,FALSE()),"")</f>
        <v/>
      </c>
    </row>
    <row r="152" spans="2:11" x14ac:dyDescent="0.45">
      <c r="B152" s="7" t="str">
        <f>_xlfn.IFNA(VLOOKUP(A152,InfoSecThreats!A:B,2,FALSE()),"")</f>
        <v/>
      </c>
      <c r="D152" s="7" t="str">
        <f>_xlfn.IFNA(VLOOKUP(Vulnerabilities!C152,Assets!A:C,2,FALSE()),"")</f>
        <v/>
      </c>
      <c r="E152" s="7" t="str">
        <f>_xlfn.IFNA(VLOOKUP(Vulnerabilities!C152,Assets!A:C,3,FALSE()),"")</f>
        <v/>
      </c>
      <c r="G152" s="5" t="str">
        <f t="shared" si="0"/>
        <v/>
      </c>
      <c r="K152" s="5" t="str">
        <f>_xlfn.IFNA(VLOOKUP(_xlfn.CONCAT(I152,"|",J152),RiskValues!C:D,2,FALSE()),"")</f>
        <v/>
      </c>
    </row>
    <row r="153" spans="2:11" x14ac:dyDescent="0.45">
      <c r="B153" s="7" t="str">
        <f>_xlfn.IFNA(VLOOKUP(A153,InfoSecThreats!A:B,2,FALSE()),"")</f>
        <v/>
      </c>
      <c r="D153" s="7" t="str">
        <f>_xlfn.IFNA(VLOOKUP(Vulnerabilities!C153,Assets!A:C,2,FALSE()),"")</f>
        <v/>
      </c>
      <c r="E153" s="7" t="str">
        <f>_xlfn.IFNA(VLOOKUP(Vulnerabilities!C153,Assets!A:C,3,FALSE()),"")</f>
        <v/>
      </c>
      <c r="G153" s="5" t="str">
        <f t="shared" si="0"/>
        <v/>
      </c>
      <c r="K153" s="5" t="str">
        <f>_xlfn.IFNA(VLOOKUP(_xlfn.CONCAT(I153,"|",J153),RiskValues!C:D,2,FALSE()),"")</f>
        <v/>
      </c>
    </row>
    <row r="154" spans="2:11" x14ac:dyDescent="0.45">
      <c r="B154" s="7" t="str">
        <f>_xlfn.IFNA(VLOOKUP(A154,InfoSecThreats!A:B,2,FALSE()),"")</f>
        <v/>
      </c>
      <c r="D154" s="7" t="str">
        <f>_xlfn.IFNA(VLOOKUP(Vulnerabilities!C154,Assets!A:C,2,FALSE()),"")</f>
        <v/>
      </c>
      <c r="E154" s="7" t="str">
        <f>_xlfn.IFNA(VLOOKUP(Vulnerabilities!C154,Assets!A:C,3,FALSE()),"")</f>
        <v/>
      </c>
      <c r="G154" s="5" t="str">
        <f t="shared" si="0"/>
        <v/>
      </c>
      <c r="K154" s="5" t="str">
        <f>_xlfn.IFNA(VLOOKUP(_xlfn.CONCAT(I154,"|",J154),RiskValues!C:D,2,FALSE()),"")</f>
        <v/>
      </c>
    </row>
    <row r="155" spans="2:11" x14ac:dyDescent="0.45">
      <c r="B155" s="7" t="str">
        <f>_xlfn.IFNA(VLOOKUP(A155,InfoSecThreats!A:B,2,FALSE()),"")</f>
        <v/>
      </c>
      <c r="D155" s="7" t="str">
        <f>_xlfn.IFNA(VLOOKUP(Vulnerabilities!C155,Assets!A:C,2,FALSE()),"")</f>
        <v/>
      </c>
      <c r="E155" s="7" t="str">
        <f>_xlfn.IFNA(VLOOKUP(Vulnerabilities!C155,Assets!A:C,3,FALSE()),"")</f>
        <v/>
      </c>
      <c r="G155" s="5" t="str">
        <f t="shared" si="0"/>
        <v/>
      </c>
      <c r="K155" s="5" t="str">
        <f>_xlfn.IFNA(VLOOKUP(_xlfn.CONCAT(I155,"|",J155),RiskValues!C:D,2,FALSE()),"")</f>
        <v/>
      </c>
    </row>
    <row r="156" spans="2:11" x14ac:dyDescent="0.45">
      <c r="B156" s="7" t="str">
        <f>_xlfn.IFNA(VLOOKUP(A156,InfoSecThreats!A:B,2,FALSE()),"")</f>
        <v/>
      </c>
      <c r="D156" s="7" t="str">
        <f>_xlfn.IFNA(VLOOKUP(Vulnerabilities!C156,Assets!A:C,2,FALSE()),"")</f>
        <v/>
      </c>
      <c r="E156" s="7" t="str">
        <f>_xlfn.IFNA(VLOOKUP(Vulnerabilities!C156,Assets!A:C,3,FALSE()),"")</f>
        <v/>
      </c>
      <c r="G156" s="5" t="str">
        <f t="shared" si="0"/>
        <v/>
      </c>
      <c r="K156" s="5" t="str">
        <f>_xlfn.IFNA(VLOOKUP(_xlfn.CONCAT(I156,"|",J156),RiskValues!C:D,2,FALSE()),"")</f>
        <v/>
      </c>
    </row>
    <row r="157" spans="2:11" x14ac:dyDescent="0.45">
      <c r="B157" s="7" t="str">
        <f>_xlfn.IFNA(VLOOKUP(A157,InfoSecThreats!A:B,2,FALSE()),"")</f>
        <v/>
      </c>
      <c r="D157" s="7" t="str">
        <f>_xlfn.IFNA(VLOOKUP(Vulnerabilities!C157,Assets!A:C,2,FALSE()),"")</f>
        <v/>
      </c>
      <c r="E157" s="7" t="str">
        <f>_xlfn.IFNA(VLOOKUP(Vulnerabilities!C157,Assets!A:C,3,FALSE()),"")</f>
        <v/>
      </c>
      <c r="G157" s="5" t="str">
        <f t="shared" si="0"/>
        <v/>
      </c>
      <c r="K157" s="5" t="str">
        <f>_xlfn.IFNA(VLOOKUP(_xlfn.CONCAT(I157,"|",J157),RiskValues!C:D,2,FALSE()),"")</f>
        <v/>
      </c>
    </row>
    <row r="158" spans="2:11" x14ac:dyDescent="0.45">
      <c r="B158" s="7" t="str">
        <f>_xlfn.IFNA(VLOOKUP(A158,InfoSecThreats!A:B,2,FALSE()),"")</f>
        <v/>
      </c>
      <c r="D158" s="7" t="str">
        <f>_xlfn.IFNA(VLOOKUP(Vulnerabilities!C158,Assets!A:C,2,FALSE()),"")</f>
        <v/>
      </c>
      <c r="E158" s="7" t="str">
        <f>_xlfn.IFNA(VLOOKUP(Vulnerabilities!C158,Assets!A:C,3,FALSE()),"")</f>
        <v/>
      </c>
      <c r="G158" s="5" t="str">
        <f t="shared" si="0"/>
        <v/>
      </c>
      <c r="K158" s="5" t="str">
        <f>_xlfn.IFNA(VLOOKUP(_xlfn.CONCAT(I158,"|",J158),RiskValues!C:D,2,FALSE()),"")</f>
        <v/>
      </c>
    </row>
    <row r="159" spans="2:11" x14ac:dyDescent="0.45">
      <c r="B159" s="7" t="str">
        <f>_xlfn.IFNA(VLOOKUP(A159,InfoSecThreats!A:B,2,FALSE()),"")</f>
        <v/>
      </c>
      <c r="D159" s="7" t="str">
        <f>_xlfn.IFNA(VLOOKUP(Vulnerabilities!C159,Assets!A:C,2,FALSE()),"")</f>
        <v/>
      </c>
      <c r="E159" s="7" t="str">
        <f>_xlfn.IFNA(VLOOKUP(Vulnerabilities!C159,Assets!A:C,3,FALSE()),"")</f>
        <v/>
      </c>
      <c r="G159" s="5" t="str">
        <f t="shared" si="0"/>
        <v/>
      </c>
      <c r="K159" s="5" t="str">
        <f>_xlfn.IFNA(VLOOKUP(_xlfn.CONCAT(I159,"|",J159),RiskValues!C:D,2,FALSE()),"")</f>
        <v/>
      </c>
    </row>
    <row r="160" spans="2:11" x14ac:dyDescent="0.45">
      <c r="B160" s="7" t="str">
        <f>_xlfn.IFNA(VLOOKUP(A160,InfoSecThreats!A:B,2,FALSE()),"")</f>
        <v/>
      </c>
      <c r="D160" s="7" t="str">
        <f>_xlfn.IFNA(VLOOKUP(Vulnerabilities!C160,Assets!A:C,2,FALSE()),"")</f>
        <v/>
      </c>
      <c r="E160" s="7" t="str">
        <f>_xlfn.IFNA(VLOOKUP(Vulnerabilities!C160,Assets!A:C,3,FALSE()),"")</f>
        <v/>
      </c>
      <c r="G160" s="5" t="str">
        <f t="shared" si="0"/>
        <v/>
      </c>
      <c r="K160" s="5" t="str">
        <f>_xlfn.IFNA(VLOOKUP(_xlfn.CONCAT(I160,"|",J160),RiskValues!C:D,2,FALSE()),"")</f>
        <v/>
      </c>
    </row>
    <row r="161" spans="2:11" x14ac:dyDescent="0.45">
      <c r="B161" s="7" t="str">
        <f>_xlfn.IFNA(VLOOKUP(A161,InfoSecThreats!A:B,2,FALSE()),"")</f>
        <v/>
      </c>
      <c r="D161" s="7" t="str">
        <f>_xlfn.IFNA(VLOOKUP(Vulnerabilities!C161,Assets!A:C,2,FALSE()),"")</f>
        <v/>
      </c>
      <c r="E161" s="7" t="str">
        <f>_xlfn.IFNA(VLOOKUP(Vulnerabilities!C161,Assets!A:C,3,FALSE()),"")</f>
        <v/>
      </c>
      <c r="G161" s="5" t="str">
        <f t="shared" si="0"/>
        <v/>
      </c>
      <c r="K161" s="5" t="str">
        <f>_xlfn.IFNA(VLOOKUP(_xlfn.CONCAT(I161,"|",J161),RiskValues!C:D,2,FALSE()),"")</f>
        <v/>
      </c>
    </row>
    <row r="162" spans="2:11" x14ac:dyDescent="0.45">
      <c r="B162" s="7" t="str">
        <f>_xlfn.IFNA(VLOOKUP(A162,InfoSecThreats!A:B,2,FALSE()),"")</f>
        <v/>
      </c>
      <c r="D162" s="7" t="str">
        <f>_xlfn.IFNA(VLOOKUP(Vulnerabilities!C162,Assets!A:C,2,FALSE()),"")</f>
        <v/>
      </c>
      <c r="E162" s="7" t="str">
        <f>_xlfn.IFNA(VLOOKUP(Vulnerabilities!C162,Assets!A:C,3,FALSE()),"")</f>
        <v/>
      </c>
      <c r="G162" s="5" t="str">
        <f t="shared" si="0"/>
        <v/>
      </c>
      <c r="K162" s="5" t="str">
        <f>_xlfn.IFNA(VLOOKUP(_xlfn.CONCAT(I162,"|",J162),RiskValues!C:D,2,FALSE()),"")</f>
        <v/>
      </c>
    </row>
    <row r="163" spans="2:11" x14ac:dyDescent="0.45">
      <c r="B163" s="7" t="str">
        <f>_xlfn.IFNA(VLOOKUP(A163,InfoSecThreats!A:B,2,FALSE()),"")</f>
        <v/>
      </c>
      <c r="D163" s="7" t="str">
        <f>_xlfn.IFNA(VLOOKUP(Vulnerabilities!C163,Assets!A:C,2,FALSE()),"")</f>
        <v/>
      </c>
      <c r="E163" s="7" t="str">
        <f>_xlfn.IFNA(VLOOKUP(Vulnerabilities!C163,Assets!A:C,3,FALSE()),"")</f>
        <v/>
      </c>
      <c r="G163" s="5" t="str">
        <f t="shared" si="0"/>
        <v/>
      </c>
      <c r="K163" s="5" t="str">
        <f>_xlfn.IFNA(VLOOKUP(_xlfn.CONCAT(I163,"|",J163),RiskValues!C:D,2,FALSE()),"")</f>
        <v/>
      </c>
    </row>
    <row r="164" spans="2:11" x14ac:dyDescent="0.45">
      <c r="B164" s="7" t="str">
        <f>_xlfn.IFNA(VLOOKUP(A164,InfoSecThreats!A:B,2,FALSE()),"")</f>
        <v/>
      </c>
      <c r="D164" s="7" t="str">
        <f>_xlfn.IFNA(VLOOKUP(Vulnerabilities!C164,Assets!A:C,2,FALSE()),"")</f>
        <v/>
      </c>
      <c r="E164" s="7" t="str">
        <f>_xlfn.IFNA(VLOOKUP(Vulnerabilities!C164,Assets!A:C,3,FALSE()),"")</f>
        <v/>
      </c>
      <c r="G164" s="5" t="str">
        <f t="shared" si="0"/>
        <v/>
      </c>
      <c r="K164" s="5" t="str">
        <f>_xlfn.IFNA(VLOOKUP(_xlfn.CONCAT(I164,"|",J164),RiskValues!C:D,2,FALSE()),"")</f>
        <v/>
      </c>
    </row>
    <row r="165" spans="2:11" x14ac:dyDescent="0.45">
      <c r="B165" s="7" t="str">
        <f>_xlfn.IFNA(VLOOKUP(A165,InfoSecThreats!A:B,2,FALSE()),"")</f>
        <v/>
      </c>
      <c r="D165" s="7" t="str">
        <f>_xlfn.IFNA(VLOOKUP(Vulnerabilities!C165,Assets!A:C,2,FALSE()),"")</f>
        <v/>
      </c>
      <c r="E165" s="7" t="str">
        <f>_xlfn.IFNA(VLOOKUP(Vulnerabilities!C165,Assets!A:C,3,FALSE()),"")</f>
        <v/>
      </c>
      <c r="G165" s="5" t="str">
        <f t="shared" ref="G165:G228" si="1">IF(ISBLANK(F165),"",_xlfn.CONCAT("T",A165,"V",F165,"A",C165))</f>
        <v/>
      </c>
      <c r="K165" s="5" t="str">
        <f>_xlfn.IFNA(VLOOKUP(_xlfn.CONCAT(I165,"|",J165),RiskValues!C:D,2,FALSE()),"")</f>
        <v/>
      </c>
    </row>
    <row r="166" spans="2:11" x14ac:dyDescent="0.45">
      <c r="B166" s="7" t="str">
        <f>_xlfn.IFNA(VLOOKUP(A166,InfoSecThreats!A:B,2,FALSE()),"")</f>
        <v/>
      </c>
      <c r="D166" s="7" t="str">
        <f>_xlfn.IFNA(VLOOKUP(Vulnerabilities!C166,Assets!A:C,2,FALSE()),"")</f>
        <v/>
      </c>
      <c r="E166" s="7" t="str">
        <f>_xlfn.IFNA(VLOOKUP(Vulnerabilities!C166,Assets!A:C,3,FALSE()),"")</f>
        <v/>
      </c>
      <c r="G166" s="5" t="str">
        <f t="shared" si="1"/>
        <v/>
      </c>
      <c r="K166" s="5" t="str">
        <f>_xlfn.IFNA(VLOOKUP(_xlfn.CONCAT(I166,"|",J166),RiskValues!C:D,2,FALSE()),"")</f>
        <v/>
      </c>
    </row>
    <row r="167" spans="2:11" x14ac:dyDescent="0.45">
      <c r="B167" s="7" t="str">
        <f>_xlfn.IFNA(VLOOKUP(A167,InfoSecThreats!A:B,2,FALSE()),"")</f>
        <v/>
      </c>
      <c r="D167" s="7" t="str">
        <f>_xlfn.IFNA(VLOOKUP(Vulnerabilities!C167,Assets!A:C,2,FALSE()),"")</f>
        <v/>
      </c>
      <c r="E167" s="7" t="str">
        <f>_xlfn.IFNA(VLOOKUP(Vulnerabilities!C167,Assets!A:C,3,FALSE()),"")</f>
        <v/>
      </c>
      <c r="G167" s="5" t="str">
        <f t="shared" si="1"/>
        <v/>
      </c>
      <c r="K167" s="5" t="str">
        <f>_xlfn.IFNA(VLOOKUP(_xlfn.CONCAT(I167,"|",J167),RiskValues!C:D,2,FALSE()),"")</f>
        <v/>
      </c>
    </row>
    <row r="168" spans="2:11" x14ac:dyDescent="0.45">
      <c r="B168" s="7" t="str">
        <f>_xlfn.IFNA(VLOOKUP(A168,InfoSecThreats!A:B,2,FALSE()),"")</f>
        <v/>
      </c>
      <c r="D168" s="7" t="str">
        <f>_xlfn.IFNA(VLOOKUP(Vulnerabilities!C168,Assets!A:C,2,FALSE()),"")</f>
        <v/>
      </c>
      <c r="E168" s="7" t="str">
        <f>_xlfn.IFNA(VLOOKUP(Vulnerabilities!C168,Assets!A:C,3,FALSE()),"")</f>
        <v/>
      </c>
      <c r="G168" s="5" t="str">
        <f t="shared" si="1"/>
        <v/>
      </c>
      <c r="K168" s="5" t="str">
        <f>_xlfn.IFNA(VLOOKUP(_xlfn.CONCAT(I168,"|",J168),RiskValues!C:D,2,FALSE()),"")</f>
        <v/>
      </c>
    </row>
    <row r="169" spans="2:11" x14ac:dyDescent="0.45">
      <c r="B169" s="7" t="str">
        <f>_xlfn.IFNA(VLOOKUP(A169,InfoSecThreats!A:B,2,FALSE()),"")</f>
        <v/>
      </c>
      <c r="D169" s="7" t="str">
        <f>_xlfn.IFNA(VLOOKUP(Vulnerabilities!C169,Assets!A:C,2,FALSE()),"")</f>
        <v/>
      </c>
      <c r="E169" s="7" t="str">
        <f>_xlfn.IFNA(VLOOKUP(Vulnerabilities!C169,Assets!A:C,3,FALSE()),"")</f>
        <v/>
      </c>
      <c r="G169" s="5" t="str">
        <f t="shared" si="1"/>
        <v/>
      </c>
      <c r="K169" s="5" t="str">
        <f>_xlfn.IFNA(VLOOKUP(_xlfn.CONCAT(I169,"|",J169),RiskValues!C:D,2,FALSE()),"")</f>
        <v/>
      </c>
    </row>
    <row r="170" spans="2:11" x14ac:dyDescent="0.45">
      <c r="B170" s="7" t="str">
        <f>_xlfn.IFNA(VLOOKUP(A170,InfoSecThreats!A:B,2,FALSE()),"")</f>
        <v/>
      </c>
      <c r="D170" s="7" t="str">
        <f>_xlfn.IFNA(VLOOKUP(Vulnerabilities!C170,Assets!A:C,2,FALSE()),"")</f>
        <v/>
      </c>
      <c r="E170" s="7" t="str">
        <f>_xlfn.IFNA(VLOOKUP(Vulnerabilities!C170,Assets!A:C,3,FALSE()),"")</f>
        <v/>
      </c>
      <c r="G170" s="5" t="str">
        <f t="shared" si="1"/>
        <v/>
      </c>
      <c r="K170" s="5" t="str">
        <f>_xlfn.IFNA(VLOOKUP(_xlfn.CONCAT(I170,"|",J170),RiskValues!C:D,2,FALSE()),"")</f>
        <v/>
      </c>
    </row>
    <row r="171" spans="2:11" x14ac:dyDescent="0.45">
      <c r="B171" s="7" t="str">
        <f>_xlfn.IFNA(VLOOKUP(A171,InfoSecThreats!A:B,2,FALSE()),"")</f>
        <v/>
      </c>
      <c r="D171" s="7" t="str">
        <f>_xlfn.IFNA(VLOOKUP(Vulnerabilities!C171,Assets!A:C,2,FALSE()),"")</f>
        <v/>
      </c>
      <c r="E171" s="7" t="str">
        <f>_xlfn.IFNA(VLOOKUP(Vulnerabilities!C171,Assets!A:C,3,FALSE()),"")</f>
        <v/>
      </c>
      <c r="G171" s="5" t="str">
        <f t="shared" si="1"/>
        <v/>
      </c>
      <c r="K171" s="5" t="str">
        <f>_xlfn.IFNA(VLOOKUP(_xlfn.CONCAT(I171,"|",J171),RiskValues!C:D,2,FALSE()),"")</f>
        <v/>
      </c>
    </row>
    <row r="172" spans="2:11" x14ac:dyDescent="0.45">
      <c r="B172" s="7" t="str">
        <f>_xlfn.IFNA(VLOOKUP(A172,InfoSecThreats!A:B,2,FALSE()),"")</f>
        <v/>
      </c>
      <c r="D172" s="7" t="str">
        <f>_xlfn.IFNA(VLOOKUP(Vulnerabilities!C172,Assets!A:C,2,FALSE()),"")</f>
        <v/>
      </c>
      <c r="E172" s="7" t="str">
        <f>_xlfn.IFNA(VLOOKUP(Vulnerabilities!C172,Assets!A:C,3,FALSE()),"")</f>
        <v/>
      </c>
      <c r="G172" s="5" t="str">
        <f t="shared" si="1"/>
        <v/>
      </c>
      <c r="K172" s="5" t="str">
        <f>_xlfn.IFNA(VLOOKUP(_xlfn.CONCAT(I172,"|",J172),RiskValues!C:D,2,FALSE()),"")</f>
        <v/>
      </c>
    </row>
    <row r="173" spans="2:11" x14ac:dyDescent="0.45">
      <c r="B173" s="7" t="str">
        <f>_xlfn.IFNA(VLOOKUP(A173,InfoSecThreats!A:B,2,FALSE()),"")</f>
        <v/>
      </c>
      <c r="D173" s="7" t="str">
        <f>_xlfn.IFNA(VLOOKUP(Vulnerabilities!C173,Assets!A:C,2,FALSE()),"")</f>
        <v/>
      </c>
      <c r="E173" s="7" t="str">
        <f>_xlfn.IFNA(VLOOKUP(Vulnerabilities!C173,Assets!A:C,3,FALSE()),"")</f>
        <v/>
      </c>
      <c r="G173" s="5" t="str">
        <f t="shared" si="1"/>
        <v/>
      </c>
      <c r="K173" s="5" t="str">
        <f>_xlfn.IFNA(VLOOKUP(_xlfn.CONCAT(I173,"|",J173),RiskValues!C:D,2,FALSE()),"")</f>
        <v/>
      </c>
    </row>
    <row r="174" spans="2:11" x14ac:dyDescent="0.45">
      <c r="B174" s="7" t="str">
        <f>_xlfn.IFNA(VLOOKUP(A174,InfoSecThreats!A:B,2,FALSE()),"")</f>
        <v/>
      </c>
      <c r="D174" s="7" t="str">
        <f>_xlfn.IFNA(VLOOKUP(Vulnerabilities!C174,Assets!A:C,2,FALSE()),"")</f>
        <v/>
      </c>
      <c r="E174" s="7" t="str">
        <f>_xlfn.IFNA(VLOOKUP(Vulnerabilities!C174,Assets!A:C,3,FALSE()),"")</f>
        <v/>
      </c>
      <c r="G174" s="5" t="str">
        <f t="shared" si="1"/>
        <v/>
      </c>
      <c r="K174" s="5" t="str">
        <f>_xlfn.IFNA(VLOOKUP(_xlfn.CONCAT(I174,"|",J174),RiskValues!C:D,2,FALSE()),"")</f>
        <v/>
      </c>
    </row>
    <row r="175" spans="2:11" x14ac:dyDescent="0.45">
      <c r="B175" s="7" t="str">
        <f>_xlfn.IFNA(VLOOKUP(A175,InfoSecThreats!A:B,2,FALSE()),"")</f>
        <v/>
      </c>
      <c r="D175" s="7" t="str">
        <f>_xlfn.IFNA(VLOOKUP(Vulnerabilities!C175,Assets!A:C,2,FALSE()),"")</f>
        <v/>
      </c>
      <c r="E175" s="7" t="str">
        <f>_xlfn.IFNA(VLOOKUP(Vulnerabilities!C175,Assets!A:C,3,FALSE()),"")</f>
        <v/>
      </c>
      <c r="G175" s="5" t="str">
        <f t="shared" si="1"/>
        <v/>
      </c>
      <c r="K175" s="5" t="str">
        <f>_xlfn.IFNA(VLOOKUP(_xlfn.CONCAT(I175,"|",J175),RiskValues!C:D,2,FALSE()),"")</f>
        <v/>
      </c>
    </row>
    <row r="176" spans="2:11" x14ac:dyDescent="0.45">
      <c r="B176" s="7" t="str">
        <f>_xlfn.IFNA(VLOOKUP(A176,InfoSecThreats!A:B,2,FALSE()),"")</f>
        <v/>
      </c>
      <c r="D176" s="7" t="str">
        <f>_xlfn.IFNA(VLOOKUP(Vulnerabilities!C176,Assets!A:C,2,FALSE()),"")</f>
        <v/>
      </c>
      <c r="E176" s="7" t="str">
        <f>_xlfn.IFNA(VLOOKUP(Vulnerabilities!C176,Assets!A:C,3,FALSE()),"")</f>
        <v/>
      </c>
      <c r="G176" s="5" t="str">
        <f t="shared" si="1"/>
        <v/>
      </c>
      <c r="K176" s="5" t="str">
        <f>_xlfn.IFNA(VLOOKUP(_xlfn.CONCAT(I176,"|",J176),RiskValues!C:D,2,FALSE()),"")</f>
        <v/>
      </c>
    </row>
    <row r="177" spans="2:11" x14ac:dyDescent="0.45">
      <c r="B177" s="7" t="str">
        <f>_xlfn.IFNA(VLOOKUP(A177,InfoSecThreats!A:B,2,FALSE()),"")</f>
        <v/>
      </c>
      <c r="D177" s="7" t="str">
        <f>_xlfn.IFNA(VLOOKUP(Vulnerabilities!C177,Assets!A:C,2,FALSE()),"")</f>
        <v/>
      </c>
      <c r="E177" s="7" t="str">
        <f>_xlfn.IFNA(VLOOKUP(Vulnerabilities!C177,Assets!A:C,3,FALSE()),"")</f>
        <v/>
      </c>
      <c r="G177" s="5" t="str">
        <f t="shared" si="1"/>
        <v/>
      </c>
      <c r="K177" s="5" t="str">
        <f>_xlfn.IFNA(VLOOKUP(_xlfn.CONCAT(I177,"|",J177),RiskValues!C:D,2,FALSE()),"")</f>
        <v/>
      </c>
    </row>
    <row r="178" spans="2:11" x14ac:dyDescent="0.45">
      <c r="B178" s="7" t="str">
        <f>_xlfn.IFNA(VLOOKUP(A178,InfoSecThreats!A:B,2,FALSE()),"")</f>
        <v/>
      </c>
      <c r="D178" s="7" t="str">
        <f>_xlfn.IFNA(VLOOKUP(Vulnerabilities!C178,Assets!A:C,2,FALSE()),"")</f>
        <v/>
      </c>
      <c r="E178" s="7" t="str">
        <f>_xlfn.IFNA(VLOOKUP(Vulnerabilities!C178,Assets!A:C,3,FALSE()),"")</f>
        <v/>
      </c>
      <c r="G178" s="5" t="str">
        <f t="shared" si="1"/>
        <v/>
      </c>
      <c r="K178" s="5" t="str">
        <f>_xlfn.IFNA(VLOOKUP(_xlfn.CONCAT(I178,"|",J178),RiskValues!C:D,2,FALSE()),"")</f>
        <v/>
      </c>
    </row>
    <row r="179" spans="2:11" x14ac:dyDescent="0.45">
      <c r="B179" s="7" t="str">
        <f>_xlfn.IFNA(VLOOKUP(A179,InfoSecThreats!A:B,2,FALSE()),"")</f>
        <v/>
      </c>
      <c r="D179" s="7" t="str">
        <f>_xlfn.IFNA(VLOOKUP(Vulnerabilities!C179,Assets!A:C,2,FALSE()),"")</f>
        <v/>
      </c>
      <c r="E179" s="7" t="str">
        <f>_xlfn.IFNA(VLOOKUP(Vulnerabilities!C179,Assets!A:C,3,FALSE()),"")</f>
        <v/>
      </c>
      <c r="G179" s="5" t="str">
        <f t="shared" si="1"/>
        <v/>
      </c>
      <c r="K179" s="5" t="str">
        <f>_xlfn.IFNA(VLOOKUP(_xlfn.CONCAT(I179,"|",J179),RiskValues!C:D,2,FALSE()),"")</f>
        <v/>
      </c>
    </row>
    <row r="180" spans="2:11" x14ac:dyDescent="0.45">
      <c r="B180" s="7" t="str">
        <f>_xlfn.IFNA(VLOOKUP(A180,InfoSecThreats!A:B,2,FALSE()),"")</f>
        <v/>
      </c>
      <c r="D180" s="7" t="str">
        <f>_xlfn.IFNA(VLOOKUP(Vulnerabilities!C180,Assets!A:C,2,FALSE()),"")</f>
        <v/>
      </c>
      <c r="E180" s="7" t="str">
        <f>_xlfn.IFNA(VLOOKUP(Vulnerabilities!C180,Assets!A:C,3,FALSE()),"")</f>
        <v/>
      </c>
      <c r="G180" s="5" t="str">
        <f t="shared" si="1"/>
        <v/>
      </c>
      <c r="K180" s="5" t="str">
        <f>_xlfn.IFNA(VLOOKUP(_xlfn.CONCAT(I180,"|",J180),RiskValues!C:D,2,FALSE()),"")</f>
        <v/>
      </c>
    </row>
    <row r="181" spans="2:11" x14ac:dyDescent="0.45">
      <c r="B181" s="7" t="str">
        <f>_xlfn.IFNA(VLOOKUP(A181,InfoSecThreats!A:B,2,FALSE()),"")</f>
        <v/>
      </c>
      <c r="D181" s="7" t="str">
        <f>_xlfn.IFNA(VLOOKUP(Vulnerabilities!C181,Assets!A:C,2,FALSE()),"")</f>
        <v/>
      </c>
      <c r="E181" s="7" t="str">
        <f>_xlfn.IFNA(VLOOKUP(Vulnerabilities!C181,Assets!A:C,3,FALSE()),"")</f>
        <v/>
      </c>
      <c r="G181" s="5" t="str">
        <f t="shared" si="1"/>
        <v/>
      </c>
      <c r="K181" s="5" t="str">
        <f>_xlfn.IFNA(VLOOKUP(_xlfn.CONCAT(I181,"|",J181),RiskValues!C:D,2,FALSE()),"")</f>
        <v/>
      </c>
    </row>
    <row r="182" spans="2:11" x14ac:dyDescent="0.45">
      <c r="B182" s="7" t="str">
        <f>_xlfn.IFNA(VLOOKUP(A182,InfoSecThreats!A:B,2,FALSE()),"")</f>
        <v/>
      </c>
      <c r="D182" s="7" t="str">
        <f>_xlfn.IFNA(VLOOKUP(Vulnerabilities!C182,Assets!A:C,2,FALSE()),"")</f>
        <v/>
      </c>
      <c r="E182" s="7" t="str">
        <f>_xlfn.IFNA(VLOOKUP(Vulnerabilities!C182,Assets!A:C,3,FALSE()),"")</f>
        <v/>
      </c>
      <c r="G182" s="5" t="str">
        <f t="shared" si="1"/>
        <v/>
      </c>
      <c r="K182" s="5" t="str">
        <f>_xlfn.IFNA(VLOOKUP(_xlfn.CONCAT(I182,"|",J182),RiskValues!C:D,2,FALSE()),"")</f>
        <v/>
      </c>
    </row>
    <row r="183" spans="2:11" x14ac:dyDescent="0.45">
      <c r="B183" s="7" t="str">
        <f>_xlfn.IFNA(VLOOKUP(A183,InfoSecThreats!A:B,2,FALSE()),"")</f>
        <v/>
      </c>
      <c r="D183" s="7" t="str">
        <f>_xlfn.IFNA(VLOOKUP(Vulnerabilities!C183,Assets!A:C,2,FALSE()),"")</f>
        <v/>
      </c>
      <c r="E183" s="7" t="str">
        <f>_xlfn.IFNA(VLOOKUP(Vulnerabilities!C183,Assets!A:C,3,FALSE()),"")</f>
        <v/>
      </c>
      <c r="G183" s="5" t="str">
        <f t="shared" si="1"/>
        <v/>
      </c>
      <c r="K183" s="5" t="str">
        <f>_xlfn.IFNA(VLOOKUP(_xlfn.CONCAT(I183,"|",J183),RiskValues!C:D,2,FALSE()),"")</f>
        <v/>
      </c>
    </row>
    <row r="184" spans="2:11" x14ac:dyDescent="0.45">
      <c r="B184" s="7" t="str">
        <f>_xlfn.IFNA(VLOOKUP(A184,InfoSecThreats!A:B,2,FALSE()),"")</f>
        <v/>
      </c>
      <c r="D184" s="7" t="str">
        <f>_xlfn.IFNA(VLOOKUP(Vulnerabilities!C184,Assets!A:C,2,FALSE()),"")</f>
        <v/>
      </c>
      <c r="E184" s="7" t="str">
        <f>_xlfn.IFNA(VLOOKUP(Vulnerabilities!C184,Assets!A:C,3,FALSE()),"")</f>
        <v/>
      </c>
      <c r="G184" s="5" t="str">
        <f t="shared" si="1"/>
        <v/>
      </c>
      <c r="K184" s="5" t="str">
        <f>_xlfn.IFNA(VLOOKUP(_xlfn.CONCAT(I184,"|",J184),RiskValues!C:D,2,FALSE()),"")</f>
        <v/>
      </c>
    </row>
    <row r="185" spans="2:11" x14ac:dyDescent="0.45">
      <c r="B185" s="7" t="str">
        <f>_xlfn.IFNA(VLOOKUP(A185,InfoSecThreats!A:B,2,FALSE()),"")</f>
        <v/>
      </c>
      <c r="D185" s="7" t="str">
        <f>_xlfn.IFNA(VLOOKUP(Vulnerabilities!C185,Assets!A:C,2,FALSE()),"")</f>
        <v/>
      </c>
      <c r="E185" s="7" t="str">
        <f>_xlfn.IFNA(VLOOKUP(Vulnerabilities!C185,Assets!A:C,3,FALSE()),"")</f>
        <v/>
      </c>
      <c r="G185" s="5" t="str">
        <f t="shared" si="1"/>
        <v/>
      </c>
      <c r="K185" s="5" t="str">
        <f>_xlfn.IFNA(VLOOKUP(_xlfn.CONCAT(I185,"|",J185),RiskValues!C:D,2,FALSE()),"")</f>
        <v/>
      </c>
    </row>
    <row r="186" spans="2:11" x14ac:dyDescent="0.45">
      <c r="B186" s="7" t="str">
        <f>_xlfn.IFNA(VLOOKUP(A186,InfoSecThreats!A:B,2,FALSE()),"")</f>
        <v/>
      </c>
      <c r="D186" s="7" t="str">
        <f>_xlfn.IFNA(VLOOKUP(Vulnerabilities!C186,Assets!A:C,2,FALSE()),"")</f>
        <v/>
      </c>
      <c r="E186" s="7" t="str">
        <f>_xlfn.IFNA(VLOOKUP(Vulnerabilities!C186,Assets!A:C,3,FALSE()),"")</f>
        <v/>
      </c>
      <c r="G186" s="5" t="str">
        <f t="shared" si="1"/>
        <v/>
      </c>
      <c r="K186" s="5" t="str">
        <f>_xlfn.IFNA(VLOOKUP(_xlfn.CONCAT(I186,"|",J186),RiskValues!C:D,2,FALSE()),"")</f>
        <v/>
      </c>
    </row>
    <row r="187" spans="2:11" x14ac:dyDescent="0.45">
      <c r="B187" s="7" t="str">
        <f>_xlfn.IFNA(VLOOKUP(A187,InfoSecThreats!A:B,2,FALSE()),"")</f>
        <v/>
      </c>
      <c r="D187" s="7" t="str">
        <f>_xlfn.IFNA(VLOOKUP(Vulnerabilities!C187,Assets!A:C,2,FALSE()),"")</f>
        <v/>
      </c>
      <c r="E187" s="7" t="str">
        <f>_xlfn.IFNA(VLOOKUP(Vulnerabilities!C187,Assets!A:C,3,FALSE()),"")</f>
        <v/>
      </c>
      <c r="G187" s="5" t="str">
        <f t="shared" si="1"/>
        <v/>
      </c>
      <c r="K187" s="5" t="str">
        <f>_xlfn.IFNA(VLOOKUP(_xlfn.CONCAT(I187,"|",J187),RiskValues!C:D,2,FALSE()),"")</f>
        <v/>
      </c>
    </row>
    <row r="188" spans="2:11" x14ac:dyDescent="0.45">
      <c r="B188" s="7" t="str">
        <f>_xlfn.IFNA(VLOOKUP(A188,InfoSecThreats!A:B,2,FALSE()),"")</f>
        <v/>
      </c>
      <c r="D188" s="7" t="str">
        <f>_xlfn.IFNA(VLOOKUP(Vulnerabilities!C188,Assets!A:C,2,FALSE()),"")</f>
        <v/>
      </c>
      <c r="E188" s="7" t="str">
        <f>_xlfn.IFNA(VLOOKUP(Vulnerabilities!C188,Assets!A:C,3,FALSE()),"")</f>
        <v/>
      </c>
      <c r="G188" s="5" t="str">
        <f t="shared" si="1"/>
        <v/>
      </c>
      <c r="K188" s="5" t="str">
        <f>_xlfn.IFNA(VLOOKUP(_xlfn.CONCAT(I188,"|",J188),RiskValues!C:D,2,FALSE()),"")</f>
        <v/>
      </c>
    </row>
    <row r="189" spans="2:11" x14ac:dyDescent="0.45">
      <c r="B189" s="7" t="str">
        <f>_xlfn.IFNA(VLOOKUP(A189,InfoSecThreats!A:B,2,FALSE()),"")</f>
        <v/>
      </c>
      <c r="D189" s="7" t="str">
        <f>_xlfn.IFNA(VLOOKUP(Vulnerabilities!C189,Assets!A:C,2,FALSE()),"")</f>
        <v/>
      </c>
      <c r="E189" s="7" t="str">
        <f>_xlfn.IFNA(VLOOKUP(Vulnerabilities!C189,Assets!A:C,3,FALSE()),"")</f>
        <v/>
      </c>
      <c r="G189" s="5" t="str">
        <f t="shared" si="1"/>
        <v/>
      </c>
      <c r="K189" s="5" t="str">
        <f>_xlfn.IFNA(VLOOKUP(_xlfn.CONCAT(I189,"|",J189),RiskValues!C:D,2,FALSE()),"")</f>
        <v/>
      </c>
    </row>
    <row r="190" spans="2:11" x14ac:dyDescent="0.45">
      <c r="B190" s="7" t="str">
        <f>_xlfn.IFNA(VLOOKUP(A190,InfoSecThreats!A:B,2,FALSE()),"")</f>
        <v/>
      </c>
      <c r="D190" s="7" t="str">
        <f>_xlfn.IFNA(VLOOKUP(Vulnerabilities!C190,Assets!A:C,2,FALSE()),"")</f>
        <v/>
      </c>
      <c r="E190" s="7" t="str">
        <f>_xlfn.IFNA(VLOOKUP(Vulnerabilities!C190,Assets!A:C,3,FALSE()),"")</f>
        <v/>
      </c>
      <c r="G190" s="5" t="str">
        <f t="shared" si="1"/>
        <v/>
      </c>
      <c r="K190" s="5" t="str">
        <f>_xlfn.IFNA(VLOOKUP(_xlfn.CONCAT(I190,"|",J190),RiskValues!C:D,2,FALSE()),"")</f>
        <v/>
      </c>
    </row>
    <row r="191" spans="2:11" x14ac:dyDescent="0.45">
      <c r="B191" s="7" t="str">
        <f>_xlfn.IFNA(VLOOKUP(A191,InfoSecThreats!A:B,2,FALSE()),"")</f>
        <v/>
      </c>
      <c r="D191" s="7" t="str">
        <f>_xlfn.IFNA(VLOOKUP(Vulnerabilities!C191,Assets!A:C,2,FALSE()),"")</f>
        <v/>
      </c>
      <c r="E191" s="7" t="str">
        <f>_xlfn.IFNA(VLOOKUP(Vulnerabilities!C191,Assets!A:C,3,FALSE()),"")</f>
        <v/>
      </c>
      <c r="G191" s="5" t="str">
        <f t="shared" si="1"/>
        <v/>
      </c>
      <c r="K191" s="5" t="str">
        <f>_xlfn.IFNA(VLOOKUP(_xlfn.CONCAT(I191,"|",J191),RiskValues!C:D,2,FALSE()),"")</f>
        <v/>
      </c>
    </row>
    <row r="192" spans="2:11" x14ac:dyDescent="0.45">
      <c r="B192" s="7" t="str">
        <f>_xlfn.IFNA(VLOOKUP(A192,InfoSecThreats!A:B,2,FALSE()),"")</f>
        <v/>
      </c>
      <c r="D192" s="7" t="str">
        <f>_xlfn.IFNA(VLOOKUP(Vulnerabilities!C192,Assets!A:C,2,FALSE()),"")</f>
        <v/>
      </c>
      <c r="E192" s="7" t="str">
        <f>_xlfn.IFNA(VLOOKUP(Vulnerabilities!C192,Assets!A:C,3,FALSE()),"")</f>
        <v/>
      </c>
      <c r="G192" s="5" t="str">
        <f t="shared" si="1"/>
        <v/>
      </c>
      <c r="K192" s="5" t="str">
        <f>_xlfn.IFNA(VLOOKUP(_xlfn.CONCAT(I192,"|",J192),RiskValues!C:D,2,FALSE()),"")</f>
        <v/>
      </c>
    </row>
    <row r="193" spans="2:11" x14ac:dyDescent="0.45">
      <c r="B193" s="7" t="str">
        <f>_xlfn.IFNA(VLOOKUP(A193,InfoSecThreats!A:B,2,FALSE()),"")</f>
        <v/>
      </c>
      <c r="D193" s="7" t="str">
        <f>_xlfn.IFNA(VLOOKUP(Vulnerabilities!C193,Assets!A:C,2,FALSE()),"")</f>
        <v/>
      </c>
      <c r="E193" s="7" t="str">
        <f>_xlfn.IFNA(VLOOKUP(Vulnerabilities!C193,Assets!A:C,3,FALSE()),"")</f>
        <v/>
      </c>
      <c r="G193" s="5" t="str">
        <f t="shared" si="1"/>
        <v/>
      </c>
      <c r="K193" s="5" t="str">
        <f>_xlfn.IFNA(VLOOKUP(_xlfn.CONCAT(I193,"|",J193),RiskValues!C:D,2,FALSE()),"")</f>
        <v/>
      </c>
    </row>
    <row r="194" spans="2:11" x14ac:dyDescent="0.45">
      <c r="B194" s="7" t="str">
        <f>_xlfn.IFNA(VLOOKUP(A194,InfoSecThreats!A:B,2,FALSE()),"")</f>
        <v/>
      </c>
      <c r="D194" s="7" t="str">
        <f>_xlfn.IFNA(VLOOKUP(Vulnerabilities!C194,Assets!A:C,2,FALSE()),"")</f>
        <v/>
      </c>
      <c r="E194" s="7" t="str">
        <f>_xlfn.IFNA(VLOOKUP(Vulnerabilities!C194,Assets!A:C,3,FALSE()),"")</f>
        <v/>
      </c>
      <c r="G194" s="5" t="str">
        <f t="shared" si="1"/>
        <v/>
      </c>
      <c r="K194" s="5" t="str">
        <f>_xlfn.IFNA(VLOOKUP(_xlfn.CONCAT(I194,"|",J194),RiskValues!C:D,2,FALSE()),"")</f>
        <v/>
      </c>
    </row>
    <row r="195" spans="2:11" x14ac:dyDescent="0.45">
      <c r="B195" s="7" t="str">
        <f>_xlfn.IFNA(VLOOKUP(A195,InfoSecThreats!A:B,2,FALSE()),"")</f>
        <v/>
      </c>
      <c r="D195" s="7" t="str">
        <f>_xlfn.IFNA(VLOOKUP(Vulnerabilities!C195,Assets!A:C,2,FALSE()),"")</f>
        <v/>
      </c>
      <c r="E195" s="7" t="str">
        <f>_xlfn.IFNA(VLOOKUP(Vulnerabilities!C195,Assets!A:C,3,FALSE()),"")</f>
        <v/>
      </c>
      <c r="G195" s="5" t="str">
        <f t="shared" si="1"/>
        <v/>
      </c>
      <c r="K195" s="5" t="str">
        <f>_xlfn.IFNA(VLOOKUP(_xlfn.CONCAT(I195,"|",J195),RiskValues!C:D,2,FALSE()),"")</f>
        <v/>
      </c>
    </row>
    <row r="196" spans="2:11" x14ac:dyDescent="0.45">
      <c r="B196" s="7" t="str">
        <f>_xlfn.IFNA(VLOOKUP(A196,InfoSecThreats!A:B,2,FALSE()),"")</f>
        <v/>
      </c>
      <c r="D196" s="7" t="str">
        <f>_xlfn.IFNA(VLOOKUP(Vulnerabilities!C196,Assets!A:C,2,FALSE()),"")</f>
        <v/>
      </c>
      <c r="E196" s="7" t="str">
        <f>_xlfn.IFNA(VLOOKUP(Vulnerabilities!C196,Assets!A:C,3,FALSE()),"")</f>
        <v/>
      </c>
      <c r="G196" s="5" t="str">
        <f t="shared" si="1"/>
        <v/>
      </c>
      <c r="K196" s="5" t="str">
        <f>_xlfn.IFNA(VLOOKUP(_xlfn.CONCAT(I196,"|",J196),RiskValues!C:D,2,FALSE()),"")</f>
        <v/>
      </c>
    </row>
    <row r="197" spans="2:11" x14ac:dyDescent="0.45">
      <c r="B197" s="7" t="str">
        <f>_xlfn.IFNA(VLOOKUP(A197,InfoSecThreats!A:B,2,FALSE()),"")</f>
        <v/>
      </c>
      <c r="D197" s="7" t="str">
        <f>_xlfn.IFNA(VLOOKUP(Vulnerabilities!C197,Assets!A:C,2,FALSE()),"")</f>
        <v/>
      </c>
      <c r="E197" s="7" t="str">
        <f>_xlfn.IFNA(VLOOKUP(Vulnerabilities!C197,Assets!A:C,3,FALSE()),"")</f>
        <v/>
      </c>
      <c r="G197" s="5" t="str">
        <f t="shared" si="1"/>
        <v/>
      </c>
      <c r="K197" s="5" t="str">
        <f>_xlfn.IFNA(VLOOKUP(_xlfn.CONCAT(I197,"|",J197),RiskValues!C:D,2,FALSE()),"")</f>
        <v/>
      </c>
    </row>
    <row r="198" spans="2:11" x14ac:dyDescent="0.45">
      <c r="B198" s="7" t="str">
        <f>_xlfn.IFNA(VLOOKUP(A198,InfoSecThreats!A:B,2,FALSE()),"")</f>
        <v/>
      </c>
      <c r="D198" s="7" t="str">
        <f>_xlfn.IFNA(VLOOKUP(Vulnerabilities!C198,Assets!A:C,2,FALSE()),"")</f>
        <v/>
      </c>
      <c r="E198" s="7" t="str">
        <f>_xlfn.IFNA(VLOOKUP(Vulnerabilities!C198,Assets!A:C,3,FALSE()),"")</f>
        <v/>
      </c>
      <c r="G198" s="5" t="str">
        <f t="shared" si="1"/>
        <v/>
      </c>
      <c r="K198" s="5" t="str">
        <f>_xlfn.IFNA(VLOOKUP(_xlfn.CONCAT(I198,"|",J198),RiskValues!C:D,2,FALSE()),"")</f>
        <v/>
      </c>
    </row>
    <row r="199" spans="2:11" x14ac:dyDescent="0.45">
      <c r="B199" s="7" t="str">
        <f>_xlfn.IFNA(VLOOKUP(A199,InfoSecThreats!A:B,2,FALSE()),"")</f>
        <v/>
      </c>
      <c r="D199" s="7" t="str">
        <f>_xlfn.IFNA(VLOOKUP(Vulnerabilities!C199,Assets!A:C,2,FALSE()),"")</f>
        <v/>
      </c>
      <c r="E199" s="7" t="str">
        <f>_xlfn.IFNA(VLOOKUP(Vulnerabilities!C199,Assets!A:C,3,FALSE()),"")</f>
        <v/>
      </c>
      <c r="G199" s="5" t="str">
        <f t="shared" si="1"/>
        <v/>
      </c>
      <c r="K199" s="5" t="str">
        <f>_xlfn.IFNA(VLOOKUP(_xlfn.CONCAT(I199,"|",J199),RiskValues!C:D,2,FALSE()),"")</f>
        <v/>
      </c>
    </row>
    <row r="200" spans="2:11" x14ac:dyDescent="0.45">
      <c r="B200" s="7" t="str">
        <f>_xlfn.IFNA(VLOOKUP(A200,InfoSecThreats!A:B,2,FALSE()),"")</f>
        <v/>
      </c>
      <c r="D200" s="7" t="str">
        <f>_xlfn.IFNA(VLOOKUP(Vulnerabilities!C200,Assets!A:C,2,FALSE()),"")</f>
        <v/>
      </c>
      <c r="E200" s="7" t="str">
        <f>_xlfn.IFNA(VLOOKUP(Vulnerabilities!C200,Assets!A:C,3,FALSE()),"")</f>
        <v/>
      </c>
      <c r="G200" s="5" t="str">
        <f t="shared" si="1"/>
        <v/>
      </c>
      <c r="K200" s="5" t="str">
        <f>_xlfn.IFNA(VLOOKUP(_xlfn.CONCAT(I200,"|",J200),RiskValues!C:D,2,FALSE()),"")</f>
        <v/>
      </c>
    </row>
    <row r="201" spans="2:11" x14ac:dyDescent="0.45">
      <c r="B201" s="7" t="str">
        <f>_xlfn.IFNA(VLOOKUP(A201,InfoSecThreats!A:B,2,FALSE()),"")</f>
        <v/>
      </c>
      <c r="D201" s="7" t="str">
        <f>_xlfn.IFNA(VLOOKUP(Vulnerabilities!C201,Assets!A:C,2,FALSE()),"")</f>
        <v/>
      </c>
      <c r="E201" s="7" t="str">
        <f>_xlfn.IFNA(VLOOKUP(Vulnerabilities!C201,Assets!A:C,3,FALSE()),"")</f>
        <v/>
      </c>
      <c r="G201" s="5" t="str">
        <f t="shared" si="1"/>
        <v/>
      </c>
      <c r="K201" s="5" t="str">
        <f>_xlfn.IFNA(VLOOKUP(_xlfn.CONCAT(I201,"|",J201),RiskValues!C:D,2,FALSE()),"")</f>
        <v/>
      </c>
    </row>
    <row r="202" spans="2:11" x14ac:dyDescent="0.45">
      <c r="B202" s="7" t="str">
        <f>_xlfn.IFNA(VLOOKUP(A202,InfoSecThreats!A:B,2,FALSE()),"")</f>
        <v/>
      </c>
      <c r="D202" s="7" t="str">
        <f>_xlfn.IFNA(VLOOKUP(Vulnerabilities!C202,Assets!A:C,2,FALSE()),"")</f>
        <v/>
      </c>
      <c r="E202" s="7" t="str">
        <f>_xlfn.IFNA(VLOOKUP(Vulnerabilities!C202,Assets!A:C,3,FALSE()),"")</f>
        <v/>
      </c>
      <c r="G202" s="5" t="str">
        <f t="shared" si="1"/>
        <v/>
      </c>
      <c r="K202" s="5" t="str">
        <f>_xlfn.IFNA(VLOOKUP(_xlfn.CONCAT(I202,"|",J202),RiskValues!C:D,2,FALSE()),"")</f>
        <v/>
      </c>
    </row>
    <row r="203" spans="2:11" x14ac:dyDescent="0.45">
      <c r="B203" s="7" t="str">
        <f>_xlfn.IFNA(VLOOKUP(A203,InfoSecThreats!A:B,2,FALSE()),"")</f>
        <v/>
      </c>
      <c r="D203" s="7" t="str">
        <f>_xlfn.IFNA(VLOOKUP(Vulnerabilities!C203,Assets!A:C,2,FALSE()),"")</f>
        <v/>
      </c>
      <c r="E203" s="7" t="str">
        <f>_xlfn.IFNA(VLOOKUP(Vulnerabilities!C203,Assets!A:C,3,FALSE()),"")</f>
        <v/>
      </c>
      <c r="G203" s="5" t="str">
        <f t="shared" si="1"/>
        <v/>
      </c>
      <c r="K203" s="5" t="str">
        <f>_xlfn.IFNA(VLOOKUP(_xlfn.CONCAT(I203,"|",J203),RiskValues!C:D,2,FALSE()),"")</f>
        <v/>
      </c>
    </row>
    <row r="204" spans="2:11" x14ac:dyDescent="0.45">
      <c r="B204" s="7" t="str">
        <f>_xlfn.IFNA(VLOOKUP(A204,InfoSecThreats!A:B,2,FALSE()),"")</f>
        <v/>
      </c>
      <c r="D204" s="7" t="str">
        <f>_xlfn.IFNA(VLOOKUP(Vulnerabilities!C204,Assets!A:C,2,FALSE()),"")</f>
        <v/>
      </c>
      <c r="E204" s="7" t="str">
        <f>_xlfn.IFNA(VLOOKUP(Vulnerabilities!C204,Assets!A:C,3,FALSE()),"")</f>
        <v/>
      </c>
      <c r="G204" s="5" t="str">
        <f t="shared" si="1"/>
        <v/>
      </c>
      <c r="K204" s="5" t="str">
        <f>_xlfn.IFNA(VLOOKUP(_xlfn.CONCAT(I204,"|",J204),RiskValues!C:D,2,FALSE()),"")</f>
        <v/>
      </c>
    </row>
    <row r="205" spans="2:11" x14ac:dyDescent="0.45">
      <c r="B205" s="7" t="str">
        <f>_xlfn.IFNA(VLOOKUP(A205,InfoSecThreats!A:B,2,FALSE()),"")</f>
        <v/>
      </c>
      <c r="D205" s="7" t="str">
        <f>_xlfn.IFNA(VLOOKUP(Vulnerabilities!C205,Assets!A:C,2,FALSE()),"")</f>
        <v/>
      </c>
      <c r="E205" s="7" t="str">
        <f>_xlfn.IFNA(VLOOKUP(Vulnerabilities!C205,Assets!A:C,3,FALSE()),"")</f>
        <v/>
      </c>
      <c r="G205" s="5" t="str">
        <f t="shared" si="1"/>
        <v/>
      </c>
      <c r="K205" s="5" t="str">
        <f>_xlfn.IFNA(VLOOKUP(_xlfn.CONCAT(I205,"|",J205),RiskValues!C:D,2,FALSE()),"")</f>
        <v/>
      </c>
    </row>
    <row r="206" spans="2:11" x14ac:dyDescent="0.45">
      <c r="B206" s="7" t="str">
        <f>_xlfn.IFNA(VLOOKUP(A206,InfoSecThreats!A:B,2,FALSE()),"")</f>
        <v/>
      </c>
      <c r="D206" s="7" t="str">
        <f>_xlfn.IFNA(VLOOKUP(Vulnerabilities!C206,Assets!A:C,2,FALSE()),"")</f>
        <v/>
      </c>
      <c r="E206" s="7" t="str">
        <f>_xlfn.IFNA(VLOOKUP(Vulnerabilities!C206,Assets!A:C,3,FALSE()),"")</f>
        <v/>
      </c>
      <c r="G206" s="5" t="str">
        <f t="shared" si="1"/>
        <v/>
      </c>
      <c r="K206" s="5" t="str">
        <f>_xlfn.IFNA(VLOOKUP(_xlfn.CONCAT(I206,"|",J206),RiskValues!C:D,2,FALSE()),"")</f>
        <v/>
      </c>
    </row>
    <row r="207" spans="2:11" x14ac:dyDescent="0.45">
      <c r="B207" s="7" t="str">
        <f>_xlfn.IFNA(VLOOKUP(A207,InfoSecThreats!A:B,2,FALSE()),"")</f>
        <v/>
      </c>
      <c r="D207" s="7" t="str">
        <f>_xlfn.IFNA(VLOOKUP(Vulnerabilities!C207,Assets!A:C,2,FALSE()),"")</f>
        <v/>
      </c>
      <c r="E207" s="7" t="str">
        <f>_xlfn.IFNA(VLOOKUP(Vulnerabilities!C207,Assets!A:C,3,FALSE()),"")</f>
        <v/>
      </c>
      <c r="G207" s="5" t="str">
        <f t="shared" si="1"/>
        <v/>
      </c>
      <c r="K207" s="5" t="str">
        <f>_xlfn.IFNA(VLOOKUP(_xlfn.CONCAT(I207,"|",J207),RiskValues!C:D,2,FALSE()),"")</f>
        <v/>
      </c>
    </row>
    <row r="208" spans="2:11" x14ac:dyDescent="0.45">
      <c r="B208" s="7" t="str">
        <f>_xlfn.IFNA(VLOOKUP(A208,InfoSecThreats!A:B,2,FALSE()),"")</f>
        <v/>
      </c>
      <c r="D208" s="7" t="str">
        <f>_xlfn.IFNA(VLOOKUP(Vulnerabilities!C208,Assets!A:C,2,FALSE()),"")</f>
        <v/>
      </c>
      <c r="E208" s="7" t="str">
        <f>_xlfn.IFNA(VLOOKUP(Vulnerabilities!C208,Assets!A:C,3,FALSE()),"")</f>
        <v/>
      </c>
      <c r="G208" s="5" t="str">
        <f t="shared" si="1"/>
        <v/>
      </c>
      <c r="K208" s="5" t="str">
        <f>_xlfn.IFNA(VLOOKUP(_xlfn.CONCAT(I208,"|",J208),RiskValues!C:D,2,FALSE()),"")</f>
        <v/>
      </c>
    </row>
    <row r="209" spans="2:11" x14ac:dyDescent="0.45">
      <c r="B209" s="7" t="str">
        <f>_xlfn.IFNA(VLOOKUP(A209,InfoSecThreats!A:B,2,FALSE()),"")</f>
        <v/>
      </c>
      <c r="D209" s="7" t="str">
        <f>_xlfn.IFNA(VLOOKUP(Vulnerabilities!C209,Assets!A:C,2,FALSE()),"")</f>
        <v/>
      </c>
      <c r="E209" s="7" t="str">
        <f>_xlfn.IFNA(VLOOKUP(Vulnerabilities!C209,Assets!A:C,3,FALSE()),"")</f>
        <v/>
      </c>
      <c r="G209" s="5" t="str">
        <f t="shared" si="1"/>
        <v/>
      </c>
      <c r="K209" s="5" t="str">
        <f>_xlfn.IFNA(VLOOKUP(_xlfn.CONCAT(I209,"|",J209),RiskValues!C:D,2,FALSE()),"")</f>
        <v/>
      </c>
    </row>
    <row r="210" spans="2:11" x14ac:dyDescent="0.45">
      <c r="B210" s="7" t="str">
        <f>_xlfn.IFNA(VLOOKUP(A210,InfoSecThreats!A:B,2,FALSE()),"")</f>
        <v/>
      </c>
      <c r="D210" s="7" t="str">
        <f>_xlfn.IFNA(VLOOKUP(Vulnerabilities!C210,Assets!A:C,2,FALSE()),"")</f>
        <v/>
      </c>
      <c r="E210" s="7" t="str">
        <f>_xlfn.IFNA(VLOOKUP(Vulnerabilities!C210,Assets!A:C,3,FALSE()),"")</f>
        <v/>
      </c>
      <c r="G210" s="5" t="str">
        <f t="shared" si="1"/>
        <v/>
      </c>
      <c r="K210" s="5" t="str">
        <f>_xlfn.IFNA(VLOOKUP(_xlfn.CONCAT(I210,"|",J210),RiskValues!C:D,2,FALSE()),"")</f>
        <v/>
      </c>
    </row>
    <row r="211" spans="2:11" x14ac:dyDescent="0.45">
      <c r="B211" s="7" t="str">
        <f>_xlfn.IFNA(VLOOKUP(A211,InfoSecThreats!A:B,2,FALSE()),"")</f>
        <v/>
      </c>
      <c r="D211" s="7" t="str">
        <f>_xlfn.IFNA(VLOOKUP(Vulnerabilities!C211,Assets!A:C,2,FALSE()),"")</f>
        <v/>
      </c>
      <c r="E211" s="7" t="str">
        <f>_xlfn.IFNA(VLOOKUP(Vulnerabilities!C211,Assets!A:C,3,FALSE()),"")</f>
        <v/>
      </c>
      <c r="G211" s="5" t="str">
        <f t="shared" si="1"/>
        <v/>
      </c>
      <c r="K211" s="5" t="str">
        <f>_xlfn.IFNA(VLOOKUP(_xlfn.CONCAT(I211,"|",J211),RiskValues!C:D,2,FALSE()),"")</f>
        <v/>
      </c>
    </row>
    <row r="212" spans="2:11" x14ac:dyDescent="0.45">
      <c r="B212" s="7" t="str">
        <f>_xlfn.IFNA(VLOOKUP(A212,InfoSecThreats!A:B,2,FALSE()),"")</f>
        <v/>
      </c>
      <c r="D212" s="7" t="str">
        <f>_xlfn.IFNA(VLOOKUP(Vulnerabilities!C212,Assets!A:C,2,FALSE()),"")</f>
        <v/>
      </c>
      <c r="E212" s="7" t="str">
        <f>_xlfn.IFNA(VLOOKUP(Vulnerabilities!C212,Assets!A:C,3,FALSE()),"")</f>
        <v/>
      </c>
      <c r="G212" s="5" t="str">
        <f t="shared" si="1"/>
        <v/>
      </c>
      <c r="K212" s="5" t="str">
        <f>_xlfn.IFNA(VLOOKUP(_xlfn.CONCAT(I212,"|",J212),RiskValues!C:D,2,FALSE()),"")</f>
        <v/>
      </c>
    </row>
    <row r="213" spans="2:11" x14ac:dyDescent="0.45">
      <c r="B213" s="7" t="str">
        <f>_xlfn.IFNA(VLOOKUP(A213,InfoSecThreats!A:B,2,FALSE()),"")</f>
        <v/>
      </c>
      <c r="D213" s="7" t="str">
        <f>_xlfn.IFNA(VLOOKUP(Vulnerabilities!C213,Assets!A:C,2,FALSE()),"")</f>
        <v/>
      </c>
      <c r="E213" s="7" t="str">
        <f>_xlfn.IFNA(VLOOKUP(Vulnerabilities!C213,Assets!A:C,3,FALSE()),"")</f>
        <v/>
      </c>
      <c r="G213" s="5" t="str">
        <f t="shared" si="1"/>
        <v/>
      </c>
      <c r="K213" s="5" t="str">
        <f>_xlfn.IFNA(VLOOKUP(_xlfn.CONCAT(I213,"|",J213),RiskValues!C:D,2,FALSE()),"")</f>
        <v/>
      </c>
    </row>
    <row r="214" spans="2:11" x14ac:dyDescent="0.45">
      <c r="B214" s="7" t="str">
        <f>_xlfn.IFNA(VLOOKUP(A214,InfoSecThreats!A:B,2,FALSE()),"")</f>
        <v/>
      </c>
      <c r="D214" s="7" t="str">
        <f>_xlfn.IFNA(VLOOKUP(Vulnerabilities!C214,Assets!A:C,2,FALSE()),"")</f>
        <v/>
      </c>
      <c r="E214" s="7" t="str">
        <f>_xlfn.IFNA(VLOOKUP(Vulnerabilities!C214,Assets!A:C,3,FALSE()),"")</f>
        <v/>
      </c>
      <c r="G214" s="5" t="str">
        <f t="shared" si="1"/>
        <v/>
      </c>
      <c r="K214" s="5" t="str">
        <f>_xlfn.IFNA(VLOOKUP(_xlfn.CONCAT(I214,"|",J214),RiskValues!C:D,2,FALSE()),"")</f>
        <v/>
      </c>
    </row>
    <row r="215" spans="2:11" x14ac:dyDescent="0.45">
      <c r="B215" s="7" t="str">
        <f>_xlfn.IFNA(VLOOKUP(A215,InfoSecThreats!A:B,2,FALSE()),"")</f>
        <v/>
      </c>
      <c r="D215" s="7" t="str">
        <f>_xlfn.IFNA(VLOOKUP(Vulnerabilities!C215,Assets!A:C,2,FALSE()),"")</f>
        <v/>
      </c>
      <c r="E215" s="7" t="str">
        <f>_xlfn.IFNA(VLOOKUP(Vulnerabilities!C215,Assets!A:C,3,FALSE()),"")</f>
        <v/>
      </c>
      <c r="G215" s="5" t="str">
        <f t="shared" si="1"/>
        <v/>
      </c>
      <c r="K215" s="5" t="str">
        <f>_xlfn.IFNA(VLOOKUP(_xlfn.CONCAT(I215,"|",J215),RiskValues!C:D,2,FALSE()),"")</f>
        <v/>
      </c>
    </row>
    <row r="216" spans="2:11" x14ac:dyDescent="0.45">
      <c r="B216" s="7" t="str">
        <f>_xlfn.IFNA(VLOOKUP(A216,InfoSecThreats!A:B,2,FALSE()),"")</f>
        <v/>
      </c>
      <c r="D216" s="7" t="str">
        <f>_xlfn.IFNA(VLOOKUP(Vulnerabilities!C216,Assets!A:C,2,FALSE()),"")</f>
        <v/>
      </c>
      <c r="E216" s="7" t="str">
        <f>_xlfn.IFNA(VLOOKUP(Vulnerabilities!C216,Assets!A:C,3,FALSE()),"")</f>
        <v/>
      </c>
      <c r="G216" s="5" t="str">
        <f t="shared" si="1"/>
        <v/>
      </c>
      <c r="K216" s="5" t="str">
        <f>_xlfn.IFNA(VLOOKUP(_xlfn.CONCAT(I216,"|",J216),RiskValues!C:D,2,FALSE()),"")</f>
        <v/>
      </c>
    </row>
    <row r="217" spans="2:11" x14ac:dyDescent="0.45">
      <c r="B217" s="7" t="str">
        <f>_xlfn.IFNA(VLOOKUP(A217,InfoSecThreats!A:B,2,FALSE()),"")</f>
        <v/>
      </c>
      <c r="D217" s="7" t="str">
        <f>_xlfn.IFNA(VLOOKUP(Vulnerabilities!C217,Assets!A:C,2,FALSE()),"")</f>
        <v/>
      </c>
      <c r="E217" s="7" t="str">
        <f>_xlfn.IFNA(VLOOKUP(Vulnerabilities!C217,Assets!A:C,3,FALSE()),"")</f>
        <v/>
      </c>
      <c r="G217" s="5" t="str">
        <f t="shared" si="1"/>
        <v/>
      </c>
      <c r="K217" s="5" t="str">
        <f>_xlfn.IFNA(VLOOKUP(_xlfn.CONCAT(I217,"|",J217),RiskValues!C:D,2,FALSE()),"")</f>
        <v/>
      </c>
    </row>
    <row r="218" spans="2:11" x14ac:dyDescent="0.45">
      <c r="B218" s="7" t="str">
        <f>_xlfn.IFNA(VLOOKUP(A218,InfoSecThreats!A:B,2,FALSE()),"")</f>
        <v/>
      </c>
      <c r="D218" s="7" t="str">
        <f>_xlfn.IFNA(VLOOKUP(Vulnerabilities!C218,Assets!A:C,2,FALSE()),"")</f>
        <v/>
      </c>
      <c r="E218" s="7" t="str">
        <f>_xlfn.IFNA(VLOOKUP(Vulnerabilities!C218,Assets!A:C,3,FALSE()),"")</f>
        <v/>
      </c>
      <c r="G218" s="5" t="str">
        <f t="shared" si="1"/>
        <v/>
      </c>
      <c r="K218" s="5" t="str">
        <f>_xlfn.IFNA(VLOOKUP(_xlfn.CONCAT(I218,"|",J218),RiskValues!C:D,2,FALSE()),"")</f>
        <v/>
      </c>
    </row>
    <row r="219" spans="2:11" x14ac:dyDescent="0.45">
      <c r="B219" s="7" t="str">
        <f>_xlfn.IFNA(VLOOKUP(A219,InfoSecThreats!A:B,2,FALSE()),"")</f>
        <v/>
      </c>
      <c r="D219" s="7" t="str">
        <f>_xlfn.IFNA(VLOOKUP(Vulnerabilities!C219,Assets!A:C,2,FALSE()),"")</f>
        <v/>
      </c>
      <c r="E219" s="7" t="str">
        <f>_xlfn.IFNA(VLOOKUP(Vulnerabilities!C219,Assets!A:C,3,FALSE()),"")</f>
        <v/>
      </c>
      <c r="G219" s="5" t="str">
        <f t="shared" si="1"/>
        <v/>
      </c>
      <c r="K219" s="5" t="str">
        <f>_xlfn.IFNA(VLOOKUP(_xlfn.CONCAT(I219,"|",J219),RiskValues!C:D,2,FALSE()),"")</f>
        <v/>
      </c>
    </row>
    <row r="220" spans="2:11" x14ac:dyDescent="0.45">
      <c r="B220" s="7" t="str">
        <f>_xlfn.IFNA(VLOOKUP(A220,InfoSecThreats!A:B,2,FALSE()),"")</f>
        <v/>
      </c>
      <c r="D220" s="7" t="str">
        <f>_xlfn.IFNA(VLOOKUP(Vulnerabilities!C220,Assets!A:C,2,FALSE()),"")</f>
        <v/>
      </c>
      <c r="E220" s="7" t="str">
        <f>_xlfn.IFNA(VLOOKUP(Vulnerabilities!C220,Assets!A:C,3,FALSE()),"")</f>
        <v/>
      </c>
      <c r="G220" s="5" t="str">
        <f t="shared" si="1"/>
        <v/>
      </c>
      <c r="K220" s="5" t="str">
        <f>_xlfn.IFNA(VLOOKUP(_xlfn.CONCAT(I220,"|",J220),RiskValues!C:D,2,FALSE()),"")</f>
        <v/>
      </c>
    </row>
    <row r="221" spans="2:11" x14ac:dyDescent="0.45">
      <c r="B221" s="7" t="str">
        <f>_xlfn.IFNA(VLOOKUP(A221,InfoSecThreats!A:B,2,FALSE()),"")</f>
        <v/>
      </c>
      <c r="D221" s="7" t="str">
        <f>_xlfn.IFNA(VLOOKUP(Vulnerabilities!C221,Assets!A:C,2,FALSE()),"")</f>
        <v/>
      </c>
      <c r="E221" s="7" t="str">
        <f>_xlfn.IFNA(VLOOKUP(Vulnerabilities!C221,Assets!A:C,3,FALSE()),"")</f>
        <v/>
      </c>
      <c r="G221" s="5" t="str">
        <f t="shared" si="1"/>
        <v/>
      </c>
      <c r="K221" s="5" t="str">
        <f>_xlfn.IFNA(VLOOKUP(_xlfn.CONCAT(I221,"|",J221),RiskValues!C:D,2,FALSE()),"")</f>
        <v/>
      </c>
    </row>
    <row r="222" spans="2:11" x14ac:dyDescent="0.45">
      <c r="B222" s="7" t="str">
        <f>_xlfn.IFNA(VLOOKUP(A222,InfoSecThreats!A:B,2,FALSE()),"")</f>
        <v/>
      </c>
      <c r="D222" s="7" t="str">
        <f>_xlfn.IFNA(VLOOKUP(Vulnerabilities!C222,Assets!A:C,2,FALSE()),"")</f>
        <v/>
      </c>
      <c r="E222" s="7" t="str">
        <f>_xlfn.IFNA(VLOOKUP(Vulnerabilities!C222,Assets!A:C,3,FALSE()),"")</f>
        <v/>
      </c>
      <c r="G222" s="5" t="str">
        <f t="shared" si="1"/>
        <v/>
      </c>
      <c r="K222" s="5" t="str">
        <f>_xlfn.IFNA(VLOOKUP(_xlfn.CONCAT(I222,"|",J222),RiskValues!C:D,2,FALSE()),"")</f>
        <v/>
      </c>
    </row>
    <row r="223" spans="2:11" x14ac:dyDescent="0.45">
      <c r="B223" s="7" t="str">
        <f>_xlfn.IFNA(VLOOKUP(A223,InfoSecThreats!A:B,2,FALSE()),"")</f>
        <v/>
      </c>
      <c r="D223" s="7" t="str">
        <f>_xlfn.IFNA(VLOOKUP(Vulnerabilities!C223,Assets!A:C,2,FALSE()),"")</f>
        <v/>
      </c>
      <c r="E223" s="7" t="str">
        <f>_xlfn.IFNA(VLOOKUP(Vulnerabilities!C223,Assets!A:C,3,FALSE()),"")</f>
        <v/>
      </c>
      <c r="G223" s="5" t="str">
        <f t="shared" si="1"/>
        <v/>
      </c>
      <c r="K223" s="5" t="str">
        <f>_xlfn.IFNA(VLOOKUP(_xlfn.CONCAT(I223,"|",J223),RiskValues!C:D,2,FALSE()),"")</f>
        <v/>
      </c>
    </row>
    <row r="224" spans="2:11" x14ac:dyDescent="0.45">
      <c r="B224" s="7" t="str">
        <f>_xlfn.IFNA(VLOOKUP(A224,InfoSecThreats!A:B,2,FALSE()),"")</f>
        <v/>
      </c>
      <c r="D224" s="7" t="str">
        <f>_xlfn.IFNA(VLOOKUP(Vulnerabilities!C224,Assets!A:C,2,FALSE()),"")</f>
        <v/>
      </c>
      <c r="E224" s="7" t="str">
        <f>_xlfn.IFNA(VLOOKUP(Vulnerabilities!C224,Assets!A:C,3,FALSE()),"")</f>
        <v/>
      </c>
      <c r="G224" s="5" t="str">
        <f t="shared" si="1"/>
        <v/>
      </c>
      <c r="K224" s="5" t="str">
        <f>_xlfn.IFNA(VLOOKUP(_xlfn.CONCAT(I224,"|",J224),RiskValues!C:D,2,FALSE()),"")</f>
        <v/>
      </c>
    </row>
    <row r="225" spans="2:11" x14ac:dyDescent="0.45">
      <c r="B225" s="7" t="str">
        <f>_xlfn.IFNA(VLOOKUP(A225,InfoSecThreats!A:B,2,FALSE()),"")</f>
        <v/>
      </c>
      <c r="D225" s="7" t="str">
        <f>_xlfn.IFNA(VLOOKUP(Vulnerabilities!C225,Assets!A:C,2,FALSE()),"")</f>
        <v/>
      </c>
      <c r="E225" s="7" t="str">
        <f>_xlfn.IFNA(VLOOKUP(Vulnerabilities!C225,Assets!A:C,3,FALSE()),"")</f>
        <v/>
      </c>
      <c r="G225" s="5" t="str">
        <f t="shared" si="1"/>
        <v/>
      </c>
      <c r="K225" s="5" t="str">
        <f>_xlfn.IFNA(VLOOKUP(_xlfn.CONCAT(I225,"|",J225),RiskValues!C:D,2,FALSE()),"")</f>
        <v/>
      </c>
    </row>
    <row r="226" spans="2:11" x14ac:dyDescent="0.45">
      <c r="B226" s="7" t="str">
        <f>_xlfn.IFNA(VLOOKUP(A226,InfoSecThreats!A:B,2,FALSE()),"")</f>
        <v/>
      </c>
      <c r="D226" s="7" t="str">
        <f>_xlfn.IFNA(VLOOKUP(Vulnerabilities!C226,Assets!A:C,2,FALSE()),"")</f>
        <v/>
      </c>
      <c r="E226" s="7" t="str">
        <f>_xlfn.IFNA(VLOOKUP(Vulnerabilities!C226,Assets!A:C,3,FALSE()),"")</f>
        <v/>
      </c>
      <c r="G226" s="5" t="str">
        <f t="shared" si="1"/>
        <v/>
      </c>
      <c r="K226" s="5" t="str">
        <f>_xlfn.IFNA(VLOOKUP(_xlfn.CONCAT(I226,"|",J226),RiskValues!C:D,2,FALSE()),"")</f>
        <v/>
      </c>
    </row>
    <row r="227" spans="2:11" x14ac:dyDescent="0.45">
      <c r="B227" s="7" t="str">
        <f>_xlfn.IFNA(VLOOKUP(A227,InfoSecThreats!A:B,2,FALSE()),"")</f>
        <v/>
      </c>
      <c r="D227" s="7" t="str">
        <f>_xlfn.IFNA(VLOOKUP(Vulnerabilities!C227,Assets!A:C,2,FALSE()),"")</f>
        <v/>
      </c>
      <c r="E227" s="7" t="str">
        <f>_xlfn.IFNA(VLOOKUP(Vulnerabilities!C227,Assets!A:C,3,FALSE()),"")</f>
        <v/>
      </c>
      <c r="G227" s="5" t="str">
        <f t="shared" si="1"/>
        <v/>
      </c>
      <c r="K227" s="5" t="str">
        <f>_xlfn.IFNA(VLOOKUP(_xlfn.CONCAT(I227,"|",J227),RiskValues!C:D,2,FALSE()),"")</f>
        <v/>
      </c>
    </row>
    <row r="228" spans="2:11" x14ac:dyDescent="0.45">
      <c r="B228" s="7" t="str">
        <f>_xlfn.IFNA(VLOOKUP(A228,InfoSecThreats!A:B,2,FALSE()),"")</f>
        <v/>
      </c>
      <c r="D228" s="7" t="str">
        <f>_xlfn.IFNA(VLOOKUP(Vulnerabilities!C228,Assets!A:C,2,FALSE()),"")</f>
        <v/>
      </c>
      <c r="E228" s="7" t="str">
        <f>_xlfn.IFNA(VLOOKUP(Vulnerabilities!C228,Assets!A:C,3,FALSE()),"")</f>
        <v/>
      </c>
      <c r="G228" s="5" t="str">
        <f t="shared" si="1"/>
        <v/>
      </c>
      <c r="K228" s="5" t="str">
        <f>_xlfn.IFNA(VLOOKUP(_xlfn.CONCAT(I228,"|",J228),RiskValues!C:D,2,FALSE()),"")</f>
        <v/>
      </c>
    </row>
    <row r="229" spans="2:11" x14ac:dyDescent="0.45">
      <c r="B229" s="7" t="str">
        <f>_xlfn.IFNA(VLOOKUP(A229,InfoSecThreats!A:B,2,FALSE()),"")</f>
        <v/>
      </c>
      <c r="D229" s="7" t="str">
        <f>_xlfn.IFNA(VLOOKUP(Vulnerabilities!C229,Assets!A:C,2,FALSE()),"")</f>
        <v/>
      </c>
      <c r="E229" s="7" t="str">
        <f>_xlfn.IFNA(VLOOKUP(Vulnerabilities!C229,Assets!A:C,3,FALSE()),"")</f>
        <v/>
      </c>
      <c r="G229" s="5" t="str">
        <f t="shared" ref="G229:G292" si="2">IF(ISBLANK(F229),"",_xlfn.CONCAT("T",A229,"V",F229,"A",C229))</f>
        <v/>
      </c>
      <c r="K229" s="5" t="str">
        <f>_xlfn.IFNA(VLOOKUP(_xlfn.CONCAT(I229,"|",J229),RiskValues!C:D,2,FALSE()),"")</f>
        <v/>
      </c>
    </row>
    <row r="230" spans="2:11" x14ac:dyDescent="0.45">
      <c r="B230" s="7" t="str">
        <f>_xlfn.IFNA(VLOOKUP(A230,InfoSecThreats!A:B,2,FALSE()),"")</f>
        <v/>
      </c>
      <c r="D230" s="7" t="str">
        <f>_xlfn.IFNA(VLOOKUP(Vulnerabilities!C230,Assets!A:C,2,FALSE()),"")</f>
        <v/>
      </c>
      <c r="E230" s="7" t="str">
        <f>_xlfn.IFNA(VLOOKUP(Vulnerabilities!C230,Assets!A:C,3,FALSE()),"")</f>
        <v/>
      </c>
      <c r="G230" s="5" t="str">
        <f t="shared" si="2"/>
        <v/>
      </c>
      <c r="K230" s="5" t="str">
        <f>_xlfn.IFNA(VLOOKUP(_xlfn.CONCAT(I230,"|",J230),RiskValues!C:D,2,FALSE()),"")</f>
        <v/>
      </c>
    </row>
    <row r="231" spans="2:11" x14ac:dyDescent="0.45">
      <c r="B231" s="7" t="str">
        <f>_xlfn.IFNA(VLOOKUP(A231,InfoSecThreats!A:B,2,FALSE()),"")</f>
        <v/>
      </c>
      <c r="D231" s="7" t="str">
        <f>_xlfn.IFNA(VLOOKUP(Vulnerabilities!C231,Assets!A:C,2,FALSE()),"")</f>
        <v/>
      </c>
      <c r="E231" s="7" t="str">
        <f>_xlfn.IFNA(VLOOKUP(Vulnerabilities!C231,Assets!A:C,3,FALSE()),"")</f>
        <v/>
      </c>
      <c r="G231" s="5" t="str">
        <f t="shared" si="2"/>
        <v/>
      </c>
      <c r="K231" s="5" t="str">
        <f>_xlfn.IFNA(VLOOKUP(_xlfn.CONCAT(I231,"|",J231),RiskValues!C:D,2,FALSE()),"")</f>
        <v/>
      </c>
    </row>
    <row r="232" spans="2:11" x14ac:dyDescent="0.45">
      <c r="B232" s="7" t="str">
        <f>_xlfn.IFNA(VLOOKUP(A232,InfoSecThreats!A:B,2,FALSE()),"")</f>
        <v/>
      </c>
      <c r="D232" s="7" t="str">
        <f>_xlfn.IFNA(VLOOKUP(Vulnerabilities!C232,Assets!A:C,2,FALSE()),"")</f>
        <v/>
      </c>
      <c r="E232" s="7" t="str">
        <f>_xlfn.IFNA(VLOOKUP(Vulnerabilities!C232,Assets!A:C,3,FALSE()),"")</f>
        <v/>
      </c>
      <c r="G232" s="5" t="str">
        <f t="shared" si="2"/>
        <v/>
      </c>
      <c r="K232" s="5" t="str">
        <f>_xlfn.IFNA(VLOOKUP(_xlfn.CONCAT(I232,"|",J232),RiskValues!C:D,2,FALSE()),"")</f>
        <v/>
      </c>
    </row>
    <row r="233" spans="2:11" x14ac:dyDescent="0.45">
      <c r="B233" s="7" t="str">
        <f>_xlfn.IFNA(VLOOKUP(A233,InfoSecThreats!A:B,2,FALSE()),"")</f>
        <v/>
      </c>
      <c r="D233" s="7" t="str">
        <f>_xlfn.IFNA(VLOOKUP(Vulnerabilities!C233,Assets!A:C,2,FALSE()),"")</f>
        <v/>
      </c>
      <c r="E233" s="7" t="str">
        <f>_xlfn.IFNA(VLOOKUP(Vulnerabilities!C233,Assets!A:C,3,FALSE()),"")</f>
        <v/>
      </c>
      <c r="G233" s="5" t="str">
        <f t="shared" si="2"/>
        <v/>
      </c>
      <c r="K233" s="5" t="str">
        <f>_xlfn.IFNA(VLOOKUP(_xlfn.CONCAT(I233,"|",J233),RiskValues!C:D,2,FALSE()),"")</f>
        <v/>
      </c>
    </row>
    <row r="234" spans="2:11" x14ac:dyDescent="0.45">
      <c r="B234" s="7" t="str">
        <f>_xlfn.IFNA(VLOOKUP(A234,InfoSecThreats!A:B,2,FALSE()),"")</f>
        <v/>
      </c>
      <c r="D234" s="7" t="str">
        <f>_xlfn.IFNA(VLOOKUP(Vulnerabilities!C234,Assets!A:C,2,FALSE()),"")</f>
        <v/>
      </c>
      <c r="E234" s="7" t="str">
        <f>_xlfn.IFNA(VLOOKUP(Vulnerabilities!C234,Assets!A:C,3,FALSE()),"")</f>
        <v/>
      </c>
      <c r="G234" s="5" t="str">
        <f t="shared" si="2"/>
        <v/>
      </c>
      <c r="K234" s="5" t="str">
        <f>_xlfn.IFNA(VLOOKUP(_xlfn.CONCAT(I234,"|",J234),RiskValues!C:D,2,FALSE()),"")</f>
        <v/>
      </c>
    </row>
    <row r="235" spans="2:11" x14ac:dyDescent="0.45">
      <c r="B235" s="7" t="str">
        <f>_xlfn.IFNA(VLOOKUP(A235,InfoSecThreats!A:B,2,FALSE()),"")</f>
        <v/>
      </c>
      <c r="D235" s="7" t="str">
        <f>_xlfn.IFNA(VLOOKUP(Vulnerabilities!C235,Assets!A:C,2,FALSE()),"")</f>
        <v/>
      </c>
      <c r="E235" s="7" t="str">
        <f>_xlfn.IFNA(VLOOKUP(Vulnerabilities!C235,Assets!A:C,3,FALSE()),"")</f>
        <v/>
      </c>
      <c r="G235" s="5" t="str">
        <f t="shared" si="2"/>
        <v/>
      </c>
      <c r="K235" s="5" t="str">
        <f>_xlfn.IFNA(VLOOKUP(_xlfn.CONCAT(I235,"|",J235),RiskValues!C:D,2,FALSE()),"")</f>
        <v/>
      </c>
    </row>
    <row r="236" spans="2:11" x14ac:dyDescent="0.45">
      <c r="B236" s="7" t="str">
        <f>_xlfn.IFNA(VLOOKUP(A236,InfoSecThreats!A:B,2,FALSE()),"")</f>
        <v/>
      </c>
      <c r="D236" s="7" t="str">
        <f>_xlfn.IFNA(VLOOKUP(Vulnerabilities!C236,Assets!A:C,2,FALSE()),"")</f>
        <v/>
      </c>
      <c r="E236" s="7" t="str">
        <f>_xlfn.IFNA(VLOOKUP(Vulnerabilities!C236,Assets!A:C,3,FALSE()),"")</f>
        <v/>
      </c>
      <c r="G236" s="5" t="str">
        <f t="shared" si="2"/>
        <v/>
      </c>
      <c r="K236" s="5" t="str">
        <f>_xlfn.IFNA(VLOOKUP(_xlfn.CONCAT(I236,"|",J236),RiskValues!C:D,2,FALSE()),"")</f>
        <v/>
      </c>
    </row>
    <row r="237" spans="2:11" x14ac:dyDescent="0.45">
      <c r="B237" s="7" t="str">
        <f>_xlfn.IFNA(VLOOKUP(A237,InfoSecThreats!A:B,2,FALSE()),"")</f>
        <v/>
      </c>
      <c r="D237" s="7" t="str">
        <f>_xlfn.IFNA(VLOOKUP(Vulnerabilities!C237,Assets!A:C,2,FALSE()),"")</f>
        <v/>
      </c>
      <c r="E237" s="7" t="str">
        <f>_xlfn.IFNA(VLOOKUP(Vulnerabilities!C237,Assets!A:C,3,FALSE()),"")</f>
        <v/>
      </c>
      <c r="G237" s="5" t="str">
        <f t="shared" si="2"/>
        <v/>
      </c>
      <c r="K237" s="5" t="str">
        <f>_xlfn.IFNA(VLOOKUP(_xlfn.CONCAT(I237,"|",J237),RiskValues!C:D,2,FALSE()),"")</f>
        <v/>
      </c>
    </row>
    <row r="238" spans="2:11" x14ac:dyDescent="0.45">
      <c r="B238" s="7" t="str">
        <f>_xlfn.IFNA(VLOOKUP(A238,InfoSecThreats!A:B,2,FALSE()),"")</f>
        <v/>
      </c>
      <c r="D238" s="7" t="str">
        <f>_xlfn.IFNA(VLOOKUP(Vulnerabilities!C238,Assets!A:C,2,FALSE()),"")</f>
        <v/>
      </c>
      <c r="E238" s="7" t="str">
        <f>_xlfn.IFNA(VLOOKUP(Vulnerabilities!C238,Assets!A:C,3,FALSE()),"")</f>
        <v/>
      </c>
      <c r="G238" s="5" t="str">
        <f t="shared" si="2"/>
        <v/>
      </c>
      <c r="K238" s="5" t="str">
        <f>_xlfn.IFNA(VLOOKUP(_xlfn.CONCAT(I238,"|",J238),RiskValues!C:D,2,FALSE()),"")</f>
        <v/>
      </c>
    </row>
    <row r="239" spans="2:11" x14ac:dyDescent="0.45">
      <c r="B239" s="7" t="str">
        <f>_xlfn.IFNA(VLOOKUP(A239,InfoSecThreats!A:B,2,FALSE()),"")</f>
        <v/>
      </c>
      <c r="D239" s="7" t="str">
        <f>_xlfn.IFNA(VLOOKUP(Vulnerabilities!C239,Assets!A:C,2,FALSE()),"")</f>
        <v/>
      </c>
      <c r="E239" s="7" t="str">
        <f>_xlfn.IFNA(VLOOKUP(Vulnerabilities!C239,Assets!A:C,3,FALSE()),"")</f>
        <v/>
      </c>
      <c r="G239" s="5" t="str">
        <f t="shared" si="2"/>
        <v/>
      </c>
      <c r="K239" s="5" t="str">
        <f>_xlfn.IFNA(VLOOKUP(_xlfn.CONCAT(I239,"|",J239),RiskValues!C:D,2,FALSE()),"")</f>
        <v/>
      </c>
    </row>
    <row r="240" spans="2:11" x14ac:dyDescent="0.45">
      <c r="B240" s="7" t="str">
        <f>_xlfn.IFNA(VLOOKUP(A240,InfoSecThreats!A:B,2,FALSE()),"")</f>
        <v/>
      </c>
      <c r="D240" s="7" t="str">
        <f>_xlfn.IFNA(VLOOKUP(Vulnerabilities!C240,Assets!A:C,2,FALSE()),"")</f>
        <v/>
      </c>
      <c r="E240" s="7" t="str">
        <f>_xlfn.IFNA(VLOOKUP(Vulnerabilities!C240,Assets!A:C,3,FALSE()),"")</f>
        <v/>
      </c>
      <c r="G240" s="5" t="str">
        <f t="shared" si="2"/>
        <v/>
      </c>
      <c r="K240" s="5" t="str">
        <f>_xlfn.IFNA(VLOOKUP(_xlfn.CONCAT(I240,"|",J240),RiskValues!C:D,2,FALSE()),"")</f>
        <v/>
      </c>
    </row>
    <row r="241" spans="2:11" x14ac:dyDescent="0.45">
      <c r="B241" s="7" t="str">
        <f>_xlfn.IFNA(VLOOKUP(A241,InfoSecThreats!A:B,2,FALSE()),"")</f>
        <v/>
      </c>
      <c r="D241" s="7" t="str">
        <f>_xlfn.IFNA(VLOOKUP(Vulnerabilities!C241,Assets!A:C,2,FALSE()),"")</f>
        <v/>
      </c>
      <c r="E241" s="7" t="str">
        <f>_xlfn.IFNA(VLOOKUP(Vulnerabilities!C241,Assets!A:C,3,FALSE()),"")</f>
        <v/>
      </c>
      <c r="G241" s="5" t="str">
        <f t="shared" si="2"/>
        <v/>
      </c>
      <c r="K241" s="5" t="str">
        <f>_xlfn.IFNA(VLOOKUP(_xlfn.CONCAT(I241,"|",J241),RiskValues!C:D,2,FALSE()),"")</f>
        <v/>
      </c>
    </row>
    <row r="242" spans="2:11" x14ac:dyDescent="0.45">
      <c r="B242" s="7" t="str">
        <f>_xlfn.IFNA(VLOOKUP(A242,InfoSecThreats!A:B,2,FALSE()),"")</f>
        <v/>
      </c>
      <c r="D242" s="7" t="str">
        <f>_xlfn.IFNA(VLOOKUP(Vulnerabilities!C242,Assets!A:C,2,FALSE()),"")</f>
        <v/>
      </c>
      <c r="E242" s="7" t="str">
        <f>_xlfn.IFNA(VLOOKUP(Vulnerabilities!C242,Assets!A:C,3,FALSE()),"")</f>
        <v/>
      </c>
      <c r="G242" s="5" t="str">
        <f t="shared" si="2"/>
        <v/>
      </c>
      <c r="K242" s="5" t="str">
        <f>_xlfn.IFNA(VLOOKUP(_xlfn.CONCAT(I242,"|",J242),RiskValues!C:D,2,FALSE()),"")</f>
        <v/>
      </c>
    </row>
    <row r="243" spans="2:11" x14ac:dyDescent="0.45">
      <c r="B243" s="7" t="str">
        <f>_xlfn.IFNA(VLOOKUP(A243,InfoSecThreats!A:B,2,FALSE()),"")</f>
        <v/>
      </c>
      <c r="D243" s="7" t="str">
        <f>_xlfn.IFNA(VLOOKUP(Vulnerabilities!C243,Assets!A:C,2,FALSE()),"")</f>
        <v/>
      </c>
      <c r="E243" s="7" t="str">
        <f>_xlfn.IFNA(VLOOKUP(Vulnerabilities!C243,Assets!A:C,3,FALSE()),"")</f>
        <v/>
      </c>
      <c r="G243" s="5" t="str">
        <f t="shared" si="2"/>
        <v/>
      </c>
      <c r="K243" s="5" t="str">
        <f>_xlfn.IFNA(VLOOKUP(_xlfn.CONCAT(I243,"|",J243),RiskValues!C:D,2,FALSE()),"")</f>
        <v/>
      </c>
    </row>
    <row r="244" spans="2:11" x14ac:dyDescent="0.45">
      <c r="B244" s="7" t="str">
        <f>_xlfn.IFNA(VLOOKUP(A244,InfoSecThreats!A:B,2,FALSE()),"")</f>
        <v/>
      </c>
      <c r="D244" s="7" t="str">
        <f>_xlfn.IFNA(VLOOKUP(Vulnerabilities!C244,Assets!A:C,2,FALSE()),"")</f>
        <v/>
      </c>
      <c r="E244" s="7" t="str">
        <f>_xlfn.IFNA(VLOOKUP(Vulnerabilities!C244,Assets!A:C,3,FALSE()),"")</f>
        <v/>
      </c>
      <c r="G244" s="5" t="str">
        <f t="shared" si="2"/>
        <v/>
      </c>
      <c r="K244" s="5" t="str">
        <f>_xlfn.IFNA(VLOOKUP(_xlfn.CONCAT(I244,"|",J244),RiskValues!C:D,2,FALSE()),"")</f>
        <v/>
      </c>
    </row>
    <row r="245" spans="2:11" x14ac:dyDescent="0.45">
      <c r="B245" s="7" t="str">
        <f>_xlfn.IFNA(VLOOKUP(A245,InfoSecThreats!A:B,2,FALSE()),"")</f>
        <v/>
      </c>
      <c r="D245" s="7" t="str">
        <f>_xlfn.IFNA(VLOOKUP(Vulnerabilities!C245,Assets!A:C,2,FALSE()),"")</f>
        <v/>
      </c>
      <c r="E245" s="7" t="str">
        <f>_xlfn.IFNA(VLOOKUP(Vulnerabilities!C245,Assets!A:C,3,FALSE()),"")</f>
        <v/>
      </c>
      <c r="G245" s="5" t="str">
        <f t="shared" si="2"/>
        <v/>
      </c>
      <c r="K245" s="5" t="str">
        <f>_xlfn.IFNA(VLOOKUP(_xlfn.CONCAT(I245,"|",J245),RiskValues!C:D,2,FALSE()),"")</f>
        <v/>
      </c>
    </row>
    <row r="246" spans="2:11" x14ac:dyDescent="0.45">
      <c r="B246" s="7" t="str">
        <f>_xlfn.IFNA(VLOOKUP(A246,InfoSecThreats!A:B,2,FALSE()),"")</f>
        <v/>
      </c>
      <c r="D246" s="7" t="str">
        <f>_xlfn.IFNA(VLOOKUP(Vulnerabilities!C246,Assets!A:C,2,FALSE()),"")</f>
        <v/>
      </c>
      <c r="E246" s="7" t="str">
        <f>_xlfn.IFNA(VLOOKUP(Vulnerabilities!C246,Assets!A:C,3,FALSE()),"")</f>
        <v/>
      </c>
      <c r="G246" s="5" t="str">
        <f t="shared" si="2"/>
        <v/>
      </c>
      <c r="K246" s="5" t="str">
        <f>_xlfn.IFNA(VLOOKUP(_xlfn.CONCAT(I246,"|",J246),RiskValues!C:D,2,FALSE()),"")</f>
        <v/>
      </c>
    </row>
    <row r="247" spans="2:11" x14ac:dyDescent="0.45">
      <c r="B247" s="7" t="str">
        <f>_xlfn.IFNA(VLOOKUP(A247,InfoSecThreats!A:B,2,FALSE()),"")</f>
        <v/>
      </c>
      <c r="D247" s="7" t="str">
        <f>_xlfn.IFNA(VLOOKUP(Vulnerabilities!C247,Assets!A:C,2,FALSE()),"")</f>
        <v/>
      </c>
      <c r="E247" s="7" t="str">
        <f>_xlfn.IFNA(VLOOKUP(Vulnerabilities!C247,Assets!A:C,3,FALSE()),"")</f>
        <v/>
      </c>
      <c r="G247" s="5" t="str">
        <f t="shared" si="2"/>
        <v/>
      </c>
      <c r="K247" s="5" t="str">
        <f>_xlfn.IFNA(VLOOKUP(_xlfn.CONCAT(I247,"|",J247),RiskValues!C:D,2,FALSE()),"")</f>
        <v/>
      </c>
    </row>
    <row r="248" spans="2:11" x14ac:dyDescent="0.45">
      <c r="B248" s="7" t="str">
        <f>_xlfn.IFNA(VLOOKUP(A248,InfoSecThreats!A:B,2,FALSE()),"")</f>
        <v/>
      </c>
      <c r="D248" s="7" t="str">
        <f>_xlfn.IFNA(VLOOKUP(Vulnerabilities!C248,Assets!A:C,2,FALSE()),"")</f>
        <v/>
      </c>
      <c r="E248" s="7" t="str">
        <f>_xlfn.IFNA(VLOOKUP(Vulnerabilities!C248,Assets!A:C,3,FALSE()),"")</f>
        <v/>
      </c>
      <c r="G248" s="5" t="str">
        <f t="shared" si="2"/>
        <v/>
      </c>
      <c r="K248" s="5" t="str">
        <f>_xlfn.IFNA(VLOOKUP(_xlfn.CONCAT(I248,"|",J248),RiskValues!C:D,2,FALSE()),"")</f>
        <v/>
      </c>
    </row>
    <row r="249" spans="2:11" x14ac:dyDescent="0.45">
      <c r="B249" s="7" t="str">
        <f>_xlfn.IFNA(VLOOKUP(A249,InfoSecThreats!A:B,2,FALSE()),"")</f>
        <v/>
      </c>
      <c r="D249" s="7" t="str">
        <f>_xlfn.IFNA(VLOOKUP(Vulnerabilities!C249,Assets!A:C,2,FALSE()),"")</f>
        <v/>
      </c>
      <c r="E249" s="7" t="str">
        <f>_xlfn.IFNA(VLOOKUP(Vulnerabilities!C249,Assets!A:C,3,FALSE()),"")</f>
        <v/>
      </c>
      <c r="G249" s="5" t="str">
        <f t="shared" si="2"/>
        <v/>
      </c>
      <c r="K249" s="5" t="str">
        <f>_xlfn.IFNA(VLOOKUP(_xlfn.CONCAT(I249,"|",J249),RiskValues!C:D,2,FALSE()),"")</f>
        <v/>
      </c>
    </row>
    <row r="250" spans="2:11" x14ac:dyDescent="0.45">
      <c r="B250" s="7" t="str">
        <f>_xlfn.IFNA(VLOOKUP(A250,InfoSecThreats!A:B,2,FALSE()),"")</f>
        <v/>
      </c>
      <c r="D250" s="7" t="str">
        <f>_xlfn.IFNA(VLOOKUP(Vulnerabilities!C250,Assets!A:C,2,FALSE()),"")</f>
        <v/>
      </c>
      <c r="E250" s="7" t="str">
        <f>_xlfn.IFNA(VLOOKUP(Vulnerabilities!C250,Assets!A:C,3,FALSE()),"")</f>
        <v/>
      </c>
      <c r="G250" s="5" t="str">
        <f t="shared" si="2"/>
        <v/>
      </c>
      <c r="K250" s="5" t="str">
        <f>_xlfn.IFNA(VLOOKUP(_xlfn.CONCAT(I250,"|",J250),RiskValues!C:D,2,FALSE()),"")</f>
        <v/>
      </c>
    </row>
    <row r="251" spans="2:11" x14ac:dyDescent="0.45">
      <c r="B251" s="7" t="str">
        <f>_xlfn.IFNA(VLOOKUP(A251,InfoSecThreats!A:B,2,FALSE()),"")</f>
        <v/>
      </c>
      <c r="D251" s="7" t="str">
        <f>_xlfn.IFNA(VLOOKUP(Vulnerabilities!C251,Assets!A:C,2,FALSE()),"")</f>
        <v/>
      </c>
      <c r="E251" s="7" t="str">
        <f>_xlfn.IFNA(VLOOKUP(Vulnerabilities!C251,Assets!A:C,3,FALSE()),"")</f>
        <v/>
      </c>
      <c r="G251" s="5" t="str">
        <f t="shared" si="2"/>
        <v/>
      </c>
      <c r="K251" s="5" t="str">
        <f>_xlfn.IFNA(VLOOKUP(_xlfn.CONCAT(I251,"|",J251),RiskValues!C:D,2,FALSE()),"")</f>
        <v/>
      </c>
    </row>
    <row r="252" spans="2:11" x14ac:dyDescent="0.45">
      <c r="B252" s="7" t="str">
        <f>_xlfn.IFNA(VLOOKUP(A252,InfoSecThreats!A:B,2,FALSE()),"")</f>
        <v/>
      </c>
      <c r="D252" s="7" t="str">
        <f>_xlfn.IFNA(VLOOKUP(Vulnerabilities!C252,Assets!A:C,2,FALSE()),"")</f>
        <v/>
      </c>
      <c r="E252" s="7" t="str">
        <f>_xlfn.IFNA(VLOOKUP(Vulnerabilities!C252,Assets!A:C,3,FALSE()),"")</f>
        <v/>
      </c>
      <c r="G252" s="5" t="str">
        <f t="shared" si="2"/>
        <v/>
      </c>
      <c r="K252" s="5" t="str">
        <f>_xlfn.IFNA(VLOOKUP(_xlfn.CONCAT(I252,"|",J252),RiskValues!C:D,2,FALSE()),"")</f>
        <v/>
      </c>
    </row>
    <row r="253" spans="2:11" x14ac:dyDescent="0.45">
      <c r="B253" s="7" t="str">
        <f>_xlfn.IFNA(VLOOKUP(A253,InfoSecThreats!A:B,2,FALSE()),"")</f>
        <v/>
      </c>
      <c r="D253" s="7" t="str">
        <f>_xlfn.IFNA(VLOOKUP(Vulnerabilities!C253,Assets!A:C,2,FALSE()),"")</f>
        <v/>
      </c>
      <c r="E253" s="7" t="str">
        <f>_xlfn.IFNA(VLOOKUP(Vulnerabilities!C253,Assets!A:C,3,FALSE()),"")</f>
        <v/>
      </c>
      <c r="G253" s="5" t="str">
        <f t="shared" si="2"/>
        <v/>
      </c>
      <c r="K253" s="5" t="str">
        <f>_xlfn.IFNA(VLOOKUP(_xlfn.CONCAT(I253,"|",J253),RiskValues!C:D,2,FALSE()),"")</f>
        <v/>
      </c>
    </row>
    <row r="254" spans="2:11" x14ac:dyDescent="0.45">
      <c r="B254" s="7" t="str">
        <f>_xlfn.IFNA(VLOOKUP(A254,InfoSecThreats!A:B,2,FALSE()),"")</f>
        <v/>
      </c>
      <c r="D254" s="7" t="str">
        <f>_xlfn.IFNA(VLOOKUP(Vulnerabilities!C254,Assets!A:C,2,FALSE()),"")</f>
        <v/>
      </c>
      <c r="E254" s="7" t="str">
        <f>_xlfn.IFNA(VLOOKUP(Vulnerabilities!C254,Assets!A:C,3,FALSE()),"")</f>
        <v/>
      </c>
      <c r="G254" s="5" t="str">
        <f t="shared" si="2"/>
        <v/>
      </c>
      <c r="K254" s="5" t="str">
        <f>_xlfn.IFNA(VLOOKUP(_xlfn.CONCAT(I254,"|",J254),RiskValues!C:D,2,FALSE()),"")</f>
        <v/>
      </c>
    </row>
    <row r="255" spans="2:11" x14ac:dyDescent="0.45">
      <c r="B255" s="7" t="str">
        <f>_xlfn.IFNA(VLOOKUP(A255,InfoSecThreats!A:B,2,FALSE()),"")</f>
        <v/>
      </c>
      <c r="D255" s="7" t="str">
        <f>_xlfn.IFNA(VLOOKUP(Vulnerabilities!C255,Assets!A:C,2,FALSE()),"")</f>
        <v/>
      </c>
      <c r="E255" s="7" t="str">
        <f>_xlfn.IFNA(VLOOKUP(Vulnerabilities!C255,Assets!A:C,3,FALSE()),"")</f>
        <v/>
      </c>
      <c r="G255" s="5" t="str">
        <f t="shared" si="2"/>
        <v/>
      </c>
      <c r="K255" s="5" t="str">
        <f>_xlfn.IFNA(VLOOKUP(_xlfn.CONCAT(I255,"|",J255),RiskValues!C:D,2,FALSE()),"")</f>
        <v/>
      </c>
    </row>
    <row r="256" spans="2:11" x14ac:dyDescent="0.45">
      <c r="B256" s="7" t="str">
        <f>_xlfn.IFNA(VLOOKUP(A256,InfoSecThreats!A:B,2,FALSE()),"")</f>
        <v/>
      </c>
      <c r="D256" s="7" t="str">
        <f>_xlfn.IFNA(VLOOKUP(Vulnerabilities!C256,Assets!A:C,2,FALSE()),"")</f>
        <v/>
      </c>
      <c r="E256" s="7" t="str">
        <f>_xlfn.IFNA(VLOOKUP(Vulnerabilities!C256,Assets!A:C,3,FALSE()),"")</f>
        <v/>
      </c>
      <c r="G256" s="5" t="str">
        <f t="shared" si="2"/>
        <v/>
      </c>
      <c r="K256" s="5" t="str">
        <f>_xlfn.IFNA(VLOOKUP(_xlfn.CONCAT(I256,"|",J256),RiskValues!C:D,2,FALSE()),"")</f>
        <v/>
      </c>
    </row>
    <row r="257" spans="2:11" x14ac:dyDescent="0.45">
      <c r="B257" s="7" t="str">
        <f>_xlfn.IFNA(VLOOKUP(A257,InfoSecThreats!A:B,2,FALSE()),"")</f>
        <v/>
      </c>
      <c r="D257" s="7" t="str">
        <f>_xlfn.IFNA(VLOOKUP(Vulnerabilities!C257,Assets!A:C,2,FALSE()),"")</f>
        <v/>
      </c>
      <c r="E257" s="7" t="str">
        <f>_xlfn.IFNA(VLOOKUP(Vulnerabilities!C257,Assets!A:C,3,FALSE()),"")</f>
        <v/>
      </c>
      <c r="G257" s="5" t="str">
        <f t="shared" si="2"/>
        <v/>
      </c>
      <c r="K257" s="5" t="str">
        <f>_xlfn.IFNA(VLOOKUP(_xlfn.CONCAT(I257,"|",J257),RiskValues!C:D,2,FALSE()),"")</f>
        <v/>
      </c>
    </row>
    <row r="258" spans="2:11" x14ac:dyDescent="0.45">
      <c r="B258" s="7" t="str">
        <f>_xlfn.IFNA(VLOOKUP(A258,InfoSecThreats!A:B,2,FALSE()),"")</f>
        <v/>
      </c>
      <c r="D258" s="7" t="str">
        <f>_xlfn.IFNA(VLOOKUP(Vulnerabilities!C258,Assets!A:C,2,FALSE()),"")</f>
        <v/>
      </c>
      <c r="E258" s="7" t="str">
        <f>_xlfn.IFNA(VLOOKUP(Vulnerabilities!C258,Assets!A:C,3,FALSE()),"")</f>
        <v/>
      </c>
      <c r="G258" s="5" t="str">
        <f t="shared" si="2"/>
        <v/>
      </c>
      <c r="K258" s="5" t="str">
        <f>_xlfn.IFNA(VLOOKUP(_xlfn.CONCAT(I258,"|",J258),RiskValues!C:D,2,FALSE()),"")</f>
        <v/>
      </c>
    </row>
    <row r="259" spans="2:11" x14ac:dyDescent="0.45">
      <c r="B259" s="7" t="str">
        <f>_xlfn.IFNA(VLOOKUP(A259,InfoSecThreats!A:B,2,FALSE()),"")</f>
        <v/>
      </c>
      <c r="D259" s="7" t="str">
        <f>_xlfn.IFNA(VLOOKUP(Vulnerabilities!C259,Assets!A:C,2,FALSE()),"")</f>
        <v/>
      </c>
      <c r="E259" s="7" t="str">
        <f>_xlfn.IFNA(VLOOKUP(Vulnerabilities!C259,Assets!A:C,3,FALSE()),"")</f>
        <v/>
      </c>
      <c r="G259" s="5" t="str">
        <f t="shared" si="2"/>
        <v/>
      </c>
      <c r="K259" s="5" t="str">
        <f>_xlfn.IFNA(VLOOKUP(_xlfn.CONCAT(I259,"|",J259),RiskValues!C:D,2,FALSE()),"")</f>
        <v/>
      </c>
    </row>
    <row r="260" spans="2:11" x14ac:dyDescent="0.45">
      <c r="B260" s="7" t="str">
        <f>_xlfn.IFNA(VLOOKUP(A260,InfoSecThreats!A:B,2,FALSE()),"")</f>
        <v/>
      </c>
      <c r="D260" s="7" t="str">
        <f>_xlfn.IFNA(VLOOKUP(Vulnerabilities!C260,Assets!A:C,2,FALSE()),"")</f>
        <v/>
      </c>
      <c r="E260" s="7" t="str">
        <f>_xlfn.IFNA(VLOOKUP(Vulnerabilities!C260,Assets!A:C,3,FALSE()),"")</f>
        <v/>
      </c>
      <c r="G260" s="5" t="str">
        <f t="shared" si="2"/>
        <v/>
      </c>
      <c r="K260" s="5" t="str">
        <f>_xlfn.IFNA(VLOOKUP(_xlfn.CONCAT(I260,"|",J260),RiskValues!C:D,2,FALSE()),"")</f>
        <v/>
      </c>
    </row>
    <row r="261" spans="2:11" x14ac:dyDescent="0.45">
      <c r="B261" s="7" t="str">
        <f>_xlfn.IFNA(VLOOKUP(A261,InfoSecThreats!A:B,2,FALSE()),"")</f>
        <v/>
      </c>
      <c r="D261" s="7" t="str">
        <f>_xlfn.IFNA(VLOOKUP(Vulnerabilities!C261,Assets!A:C,2,FALSE()),"")</f>
        <v/>
      </c>
      <c r="E261" s="7" t="str">
        <f>_xlfn.IFNA(VLOOKUP(Vulnerabilities!C261,Assets!A:C,3,FALSE()),"")</f>
        <v/>
      </c>
      <c r="G261" s="5" t="str">
        <f t="shared" si="2"/>
        <v/>
      </c>
      <c r="K261" s="5" t="str">
        <f>_xlfn.IFNA(VLOOKUP(_xlfn.CONCAT(I261,"|",J261),RiskValues!C:D,2,FALSE()),"")</f>
        <v/>
      </c>
    </row>
    <row r="262" spans="2:11" x14ac:dyDescent="0.45">
      <c r="B262" s="7" t="str">
        <f>_xlfn.IFNA(VLOOKUP(A262,InfoSecThreats!A:B,2,FALSE()),"")</f>
        <v/>
      </c>
      <c r="D262" s="7" t="str">
        <f>_xlfn.IFNA(VLOOKUP(Vulnerabilities!C262,Assets!A:C,2,FALSE()),"")</f>
        <v/>
      </c>
      <c r="E262" s="7" t="str">
        <f>_xlfn.IFNA(VLOOKUP(Vulnerabilities!C262,Assets!A:C,3,FALSE()),"")</f>
        <v/>
      </c>
      <c r="G262" s="5" t="str">
        <f t="shared" si="2"/>
        <v/>
      </c>
      <c r="K262" s="5" t="str">
        <f>_xlfn.IFNA(VLOOKUP(_xlfn.CONCAT(I262,"|",J262),RiskValues!C:D,2,FALSE()),"")</f>
        <v/>
      </c>
    </row>
    <row r="263" spans="2:11" x14ac:dyDescent="0.45">
      <c r="B263" s="7" t="str">
        <f>_xlfn.IFNA(VLOOKUP(A263,InfoSecThreats!A:B,2,FALSE()),"")</f>
        <v/>
      </c>
      <c r="D263" s="7" t="str">
        <f>_xlfn.IFNA(VLOOKUP(Vulnerabilities!C263,Assets!A:C,2,FALSE()),"")</f>
        <v/>
      </c>
      <c r="E263" s="7" t="str">
        <f>_xlfn.IFNA(VLOOKUP(Vulnerabilities!C263,Assets!A:C,3,FALSE()),"")</f>
        <v/>
      </c>
      <c r="G263" s="5" t="str">
        <f t="shared" si="2"/>
        <v/>
      </c>
      <c r="K263" s="5" t="str">
        <f>_xlfn.IFNA(VLOOKUP(_xlfn.CONCAT(I263,"|",J263),RiskValues!C:D,2,FALSE()),"")</f>
        <v/>
      </c>
    </row>
    <row r="264" spans="2:11" x14ac:dyDescent="0.45">
      <c r="B264" s="7" t="str">
        <f>_xlfn.IFNA(VLOOKUP(A264,InfoSecThreats!A:B,2,FALSE()),"")</f>
        <v/>
      </c>
      <c r="D264" s="7" t="str">
        <f>_xlfn.IFNA(VLOOKUP(Vulnerabilities!C264,Assets!A:C,2,FALSE()),"")</f>
        <v/>
      </c>
      <c r="E264" s="7" t="str">
        <f>_xlfn.IFNA(VLOOKUP(Vulnerabilities!C264,Assets!A:C,3,FALSE()),"")</f>
        <v/>
      </c>
      <c r="G264" s="5" t="str">
        <f t="shared" si="2"/>
        <v/>
      </c>
      <c r="K264" s="5" t="str">
        <f>_xlfn.IFNA(VLOOKUP(_xlfn.CONCAT(I264,"|",J264),RiskValues!C:D,2,FALSE()),"")</f>
        <v/>
      </c>
    </row>
    <row r="265" spans="2:11" x14ac:dyDescent="0.45">
      <c r="B265" s="7" t="str">
        <f>_xlfn.IFNA(VLOOKUP(A265,InfoSecThreats!A:B,2,FALSE()),"")</f>
        <v/>
      </c>
      <c r="D265" s="7" t="str">
        <f>_xlfn.IFNA(VLOOKUP(Vulnerabilities!C265,Assets!A:C,2,FALSE()),"")</f>
        <v/>
      </c>
      <c r="E265" s="7" t="str">
        <f>_xlfn.IFNA(VLOOKUP(Vulnerabilities!C265,Assets!A:C,3,FALSE()),"")</f>
        <v/>
      </c>
      <c r="G265" s="5" t="str">
        <f t="shared" si="2"/>
        <v/>
      </c>
      <c r="K265" s="5" t="str">
        <f>_xlfn.IFNA(VLOOKUP(_xlfn.CONCAT(I265,"|",J265),RiskValues!C:D,2,FALSE()),"")</f>
        <v/>
      </c>
    </row>
    <row r="266" spans="2:11" x14ac:dyDescent="0.45">
      <c r="B266" s="7" t="str">
        <f>_xlfn.IFNA(VLOOKUP(A266,InfoSecThreats!A:B,2,FALSE()),"")</f>
        <v/>
      </c>
      <c r="D266" s="7" t="str">
        <f>_xlfn.IFNA(VLOOKUP(Vulnerabilities!C266,Assets!A:C,2,FALSE()),"")</f>
        <v/>
      </c>
      <c r="E266" s="7" t="str">
        <f>_xlfn.IFNA(VLOOKUP(Vulnerabilities!C266,Assets!A:C,3,FALSE()),"")</f>
        <v/>
      </c>
      <c r="G266" s="5" t="str">
        <f t="shared" si="2"/>
        <v/>
      </c>
      <c r="K266" s="5" t="str">
        <f>_xlfn.IFNA(VLOOKUP(_xlfn.CONCAT(I266,"|",J266),RiskValues!C:D,2,FALSE()),"")</f>
        <v/>
      </c>
    </row>
    <row r="267" spans="2:11" x14ac:dyDescent="0.45">
      <c r="B267" s="7" t="str">
        <f>_xlfn.IFNA(VLOOKUP(A267,InfoSecThreats!A:B,2,FALSE()),"")</f>
        <v/>
      </c>
      <c r="D267" s="7" t="str">
        <f>_xlfn.IFNA(VLOOKUP(Vulnerabilities!C267,Assets!A:C,2,FALSE()),"")</f>
        <v/>
      </c>
      <c r="E267" s="7" t="str">
        <f>_xlfn.IFNA(VLOOKUP(Vulnerabilities!C267,Assets!A:C,3,FALSE()),"")</f>
        <v/>
      </c>
      <c r="G267" s="5" t="str">
        <f t="shared" si="2"/>
        <v/>
      </c>
      <c r="K267" s="5" t="str">
        <f>_xlfn.IFNA(VLOOKUP(_xlfn.CONCAT(I267,"|",J267),RiskValues!C:D,2,FALSE()),"")</f>
        <v/>
      </c>
    </row>
    <row r="268" spans="2:11" x14ac:dyDescent="0.45">
      <c r="B268" s="7" t="str">
        <f>_xlfn.IFNA(VLOOKUP(A268,InfoSecThreats!A:B,2,FALSE()),"")</f>
        <v/>
      </c>
      <c r="D268" s="7" t="str">
        <f>_xlfn.IFNA(VLOOKUP(Vulnerabilities!C268,Assets!A:C,2,FALSE()),"")</f>
        <v/>
      </c>
      <c r="E268" s="7" t="str">
        <f>_xlfn.IFNA(VLOOKUP(Vulnerabilities!C268,Assets!A:C,3,FALSE()),"")</f>
        <v/>
      </c>
      <c r="G268" s="5" t="str">
        <f t="shared" si="2"/>
        <v/>
      </c>
      <c r="K268" s="5" t="str">
        <f>_xlfn.IFNA(VLOOKUP(_xlfn.CONCAT(I268,"|",J268),RiskValues!C:D,2,FALSE()),"")</f>
        <v/>
      </c>
    </row>
    <row r="269" spans="2:11" x14ac:dyDescent="0.45">
      <c r="B269" s="7" t="str">
        <f>_xlfn.IFNA(VLOOKUP(A269,InfoSecThreats!A:B,2,FALSE()),"")</f>
        <v/>
      </c>
      <c r="D269" s="7" t="str">
        <f>_xlfn.IFNA(VLOOKUP(Vulnerabilities!C269,Assets!A:C,2,FALSE()),"")</f>
        <v/>
      </c>
      <c r="E269" s="7" t="str">
        <f>_xlfn.IFNA(VLOOKUP(Vulnerabilities!C269,Assets!A:C,3,FALSE()),"")</f>
        <v/>
      </c>
      <c r="G269" s="5" t="str">
        <f t="shared" si="2"/>
        <v/>
      </c>
      <c r="K269" s="5" t="str">
        <f>_xlfn.IFNA(VLOOKUP(_xlfn.CONCAT(I269,"|",J269),RiskValues!C:D,2,FALSE()),"")</f>
        <v/>
      </c>
    </row>
    <row r="270" spans="2:11" x14ac:dyDescent="0.45">
      <c r="B270" s="7" t="str">
        <f>_xlfn.IFNA(VLOOKUP(A270,InfoSecThreats!A:B,2,FALSE()),"")</f>
        <v/>
      </c>
      <c r="D270" s="7" t="str">
        <f>_xlfn.IFNA(VLOOKUP(Vulnerabilities!C270,Assets!A:C,2,FALSE()),"")</f>
        <v/>
      </c>
      <c r="E270" s="7" t="str">
        <f>_xlfn.IFNA(VLOOKUP(Vulnerabilities!C270,Assets!A:C,3,FALSE()),"")</f>
        <v/>
      </c>
      <c r="G270" s="5" t="str">
        <f t="shared" si="2"/>
        <v/>
      </c>
      <c r="K270" s="5" t="str">
        <f>_xlfn.IFNA(VLOOKUP(_xlfn.CONCAT(I270,"|",J270),RiskValues!C:D,2,FALSE()),"")</f>
        <v/>
      </c>
    </row>
    <row r="271" spans="2:11" x14ac:dyDescent="0.45">
      <c r="B271" s="7" t="str">
        <f>_xlfn.IFNA(VLOOKUP(A271,InfoSecThreats!A:B,2,FALSE()),"")</f>
        <v/>
      </c>
      <c r="D271" s="7" t="str">
        <f>_xlfn.IFNA(VLOOKUP(Vulnerabilities!C271,Assets!A:C,2,FALSE()),"")</f>
        <v/>
      </c>
      <c r="E271" s="7" t="str">
        <f>_xlfn.IFNA(VLOOKUP(Vulnerabilities!C271,Assets!A:C,3,FALSE()),"")</f>
        <v/>
      </c>
      <c r="G271" s="5" t="str">
        <f t="shared" si="2"/>
        <v/>
      </c>
      <c r="K271" s="5" t="str">
        <f>_xlfn.IFNA(VLOOKUP(_xlfn.CONCAT(I271,"|",J271),RiskValues!C:D,2,FALSE()),"")</f>
        <v/>
      </c>
    </row>
    <row r="272" spans="2:11" x14ac:dyDescent="0.45">
      <c r="B272" s="7" t="str">
        <f>_xlfn.IFNA(VLOOKUP(A272,InfoSecThreats!A:B,2,FALSE()),"")</f>
        <v/>
      </c>
      <c r="D272" s="7" t="str">
        <f>_xlfn.IFNA(VLOOKUP(Vulnerabilities!C272,Assets!A:C,2,FALSE()),"")</f>
        <v/>
      </c>
      <c r="E272" s="7" t="str">
        <f>_xlfn.IFNA(VLOOKUP(Vulnerabilities!C272,Assets!A:C,3,FALSE()),"")</f>
        <v/>
      </c>
      <c r="G272" s="5" t="str">
        <f t="shared" si="2"/>
        <v/>
      </c>
      <c r="K272" s="5" t="str">
        <f>_xlfn.IFNA(VLOOKUP(_xlfn.CONCAT(I272,"|",J272),RiskValues!C:D,2,FALSE()),"")</f>
        <v/>
      </c>
    </row>
    <row r="273" spans="2:11" x14ac:dyDescent="0.45">
      <c r="B273" s="7" t="str">
        <f>_xlfn.IFNA(VLOOKUP(A273,InfoSecThreats!A:B,2,FALSE()),"")</f>
        <v/>
      </c>
      <c r="D273" s="7" t="str">
        <f>_xlfn.IFNA(VLOOKUP(Vulnerabilities!C273,Assets!A:C,2,FALSE()),"")</f>
        <v/>
      </c>
      <c r="E273" s="7" t="str">
        <f>_xlfn.IFNA(VLOOKUP(Vulnerabilities!C273,Assets!A:C,3,FALSE()),"")</f>
        <v/>
      </c>
      <c r="G273" s="5" t="str">
        <f t="shared" si="2"/>
        <v/>
      </c>
      <c r="K273" s="5" t="str">
        <f>_xlfn.IFNA(VLOOKUP(_xlfn.CONCAT(I273,"|",J273),RiskValues!C:D,2,FALSE()),"")</f>
        <v/>
      </c>
    </row>
    <row r="274" spans="2:11" x14ac:dyDescent="0.45">
      <c r="B274" s="7" t="str">
        <f>_xlfn.IFNA(VLOOKUP(A274,InfoSecThreats!A:B,2,FALSE()),"")</f>
        <v/>
      </c>
      <c r="D274" s="7" t="str">
        <f>_xlfn.IFNA(VLOOKUP(Vulnerabilities!C274,Assets!A:C,2,FALSE()),"")</f>
        <v/>
      </c>
      <c r="E274" s="7" t="str">
        <f>_xlfn.IFNA(VLOOKUP(Vulnerabilities!C274,Assets!A:C,3,FALSE()),"")</f>
        <v/>
      </c>
      <c r="G274" s="5" t="str">
        <f t="shared" si="2"/>
        <v/>
      </c>
      <c r="K274" s="5" t="str">
        <f>_xlfn.IFNA(VLOOKUP(_xlfn.CONCAT(I274,"|",J274),RiskValues!C:D,2,FALSE()),"")</f>
        <v/>
      </c>
    </row>
    <row r="275" spans="2:11" x14ac:dyDescent="0.45">
      <c r="B275" s="7" t="str">
        <f>_xlfn.IFNA(VLOOKUP(A275,InfoSecThreats!A:B,2,FALSE()),"")</f>
        <v/>
      </c>
      <c r="D275" s="7" t="str">
        <f>_xlfn.IFNA(VLOOKUP(Vulnerabilities!C275,Assets!A:C,2,FALSE()),"")</f>
        <v/>
      </c>
      <c r="E275" s="7" t="str">
        <f>_xlfn.IFNA(VLOOKUP(Vulnerabilities!C275,Assets!A:C,3,FALSE()),"")</f>
        <v/>
      </c>
      <c r="G275" s="5" t="str">
        <f t="shared" si="2"/>
        <v/>
      </c>
      <c r="K275" s="5" t="str">
        <f>_xlfn.IFNA(VLOOKUP(_xlfn.CONCAT(I275,"|",J275),RiskValues!C:D,2,FALSE()),"")</f>
        <v/>
      </c>
    </row>
    <row r="276" spans="2:11" x14ac:dyDescent="0.45">
      <c r="B276" s="7" t="str">
        <f>_xlfn.IFNA(VLOOKUP(A276,InfoSecThreats!A:B,2,FALSE()),"")</f>
        <v/>
      </c>
      <c r="D276" s="7" t="str">
        <f>_xlfn.IFNA(VLOOKUP(Vulnerabilities!C276,Assets!A:C,2,FALSE()),"")</f>
        <v/>
      </c>
      <c r="E276" s="7" t="str">
        <f>_xlfn.IFNA(VLOOKUP(Vulnerabilities!C276,Assets!A:C,3,FALSE()),"")</f>
        <v/>
      </c>
      <c r="G276" s="5" t="str">
        <f t="shared" si="2"/>
        <v/>
      </c>
      <c r="K276" s="5" t="str">
        <f>_xlfn.IFNA(VLOOKUP(_xlfn.CONCAT(I276,"|",J276),RiskValues!C:D,2,FALSE()),"")</f>
        <v/>
      </c>
    </row>
    <row r="277" spans="2:11" x14ac:dyDescent="0.45">
      <c r="B277" s="7" t="str">
        <f>_xlfn.IFNA(VLOOKUP(A277,InfoSecThreats!A:B,2,FALSE()),"")</f>
        <v/>
      </c>
      <c r="D277" s="7" t="str">
        <f>_xlfn.IFNA(VLOOKUP(Vulnerabilities!C277,Assets!A:C,2,FALSE()),"")</f>
        <v/>
      </c>
      <c r="E277" s="7" t="str">
        <f>_xlfn.IFNA(VLOOKUP(Vulnerabilities!C277,Assets!A:C,3,FALSE()),"")</f>
        <v/>
      </c>
      <c r="G277" s="5" t="str">
        <f t="shared" si="2"/>
        <v/>
      </c>
      <c r="K277" s="5" t="str">
        <f>_xlfn.IFNA(VLOOKUP(_xlfn.CONCAT(I277,"|",J277),RiskValues!C:D,2,FALSE()),"")</f>
        <v/>
      </c>
    </row>
    <row r="278" spans="2:11" x14ac:dyDescent="0.45">
      <c r="B278" s="7" t="str">
        <f>_xlfn.IFNA(VLOOKUP(A278,InfoSecThreats!A:B,2,FALSE()),"")</f>
        <v/>
      </c>
      <c r="D278" s="7" t="str">
        <f>_xlfn.IFNA(VLOOKUP(Vulnerabilities!C278,Assets!A:C,2,FALSE()),"")</f>
        <v/>
      </c>
      <c r="E278" s="7" t="str">
        <f>_xlfn.IFNA(VLOOKUP(Vulnerabilities!C278,Assets!A:C,3,FALSE()),"")</f>
        <v/>
      </c>
      <c r="G278" s="5" t="str">
        <f t="shared" si="2"/>
        <v/>
      </c>
      <c r="K278" s="5" t="str">
        <f>_xlfn.IFNA(VLOOKUP(_xlfn.CONCAT(I278,"|",J278),RiskValues!C:D,2,FALSE()),"")</f>
        <v/>
      </c>
    </row>
    <row r="279" spans="2:11" x14ac:dyDescent="0.45">
      <c r="B279" s="7" t="str">
        <f>_xlfn.IFNA(VLOOKUP(A279,InfoSecThreats!A:B,2,FALSE()),"")</f>
        <v/>
      </c>
      <c r="D279" s="7" t="str">
        <f>_xlfn.IFNA(VLOOKUP(Vulnerabilities!C279,Assets!A:C,2,FALSE()),"")</f>
        <v/>
      </c>
      <c r="E279" s="7" t="str">
        <f>_xlfn.IFNA(VLOOKUP(Vulnerabilities!C279,Assets!A:C,3,FALSE()),"")</f>
        <v/>
      </c>
      <c r="G279" s="5" t="str">
        <f t="shared" si="2"/>
        <v/>
      </c>
      <c r="K279" s="5" t="str">
        <f>_xlfn.IFNA(VLOOKUP(_xlfn.CONCAT(I279,"|",J279),RiskValues!C:D,2,FALSE()),"")</f>
        <v/>
      </c>
    </row>
    <row r="280" spans="2:11" x14ac:dyDescent="0.45">
      <c r="B280" s="7" t="str">
        <f>_xlfn.IFNA(VLOOKUP(A280,InfoSecThreats!A:B,2,FALSE()),"")</f>
        <v/>
      </c>
      <c r="D280" s="7" t="str">
        <f>_xlfn.IFNA(VLOOKUP(Vulnerabilities!C280,Assets!A:C,2,FALSE()),"")</f>
        <v/>
      </c>
      <c r="E280" s="7" t="str">
        <f>_xlfn.IFNA(VLOOKUP(Vulnerabilities!C280,Assets!A:C,3,FALSE()),"")</f>
        <v/>
      </c>
      <c r="G280" s="5" t="str">
        <f t="shared" si="2"/>
        <v/>
      </c>
      <c r="K280" s="5" t="str">
        <f>_xlfn.IFNA(VLOOKUP(_xlfn.CONCAT(I280,"|",J280),RiskValues!C:D,2,FALSE()),"")</f>
        <v/>
      </c>
    </row>
    <row r="281" spans="2:11" x14ac:dyDescent="0.45">
      <c r="B281" s="7" t="str">
        <f>_xlfn.IFNA(VLOOKUP(A281,InfoSecThreats!A:B,2,FALSE()),"")</f>
        <v/>
      </c>
      <c r="D281" s="7" t="str">
        <f>_xlfn.IFNA(VLOOKUP(Vulnerabilities!C281,Assets!A:C,2,FALSE()),"")</f>
        <v/>
      </c>
      <c r="E281" s="7" t="str">
        <f>_xlfn.IFNA(VLOOKUP(Vulnerabilities!C281,Assets!A:C,3,FALSE()),"")</f>
        <v/>
      </c>
      <c r="G281" s="5" t="str">
        <f t="shared" si="2"/>
        <v/>
      </c>
      <c r="K281" s="5" t="str">
        <f>_xlfn.IFNA(VLOOKUP(_xlfn.CONCAT(I281,"|",J281),RiskValues!C:D,2,FALSE()),"")</f>
        <v/>
      </c>
    </row>
    <row r="282" spans="2:11" x14ac:dyDescent="0.45">
      <c r="B282" s="7" t="str">
        <f>_xlfn.IFNA(VLOOKUP(A282,InfoSecThreats!A:B,2,FALSE()),"")</f>
        <v/>
      </c>
      <c r="D282" s="7" t="str">
        <f>_xlfn.IFNA(VLOOKUP(Vulnerabilities!C282,Assets!A:C,2,FALSE()),"")</f>
        <v/>
      </c>
      <c r="E282" s="7" t="str">
        <f>_xlfn.IFNA(VLOOKUP(Vulnerabilities!C282,Assets!A:C,3,FALSE()),"")</f>
        <v/>
      </c>
      <c r="G282" s="5" t="str">
        <f t="shared" si="2"/>
        <v/>
      </c>
      <c r="K282" s="5" t="str">
        <f>_xlfn.IFNA(VLOOKUP(_xlfn.CONCAT(I282,"|",J282),RiskValues!C:D,2,FALSE()),"")</f>
        <v/>
      </c>
    </row>
    <row r="283" spans="2:11" x14ac:dyDescent="0.45">
      <c r="B283" s="7" t="str">
        <f>_xlfn.IFNA(VLOOKUP(A283,InfoSecThreats!A:B,2,FALSE()),"")</f>
        <v/>
      </c>
      <c r="D283" s="7" t="str">
        <f>_xlfn.IFNA(VLOOKUP(Vulnerabilities!C283,Assets!A:C,2,FALSE()),"")</f>
        <v/>
      </c>
      <c r="E283" s="7" t="str">
        <f>_xlfn.IFNA(VLOOKUP(Vulnerabilities!C283,Assets!A:C,3,FALSE()),"")</f>
        <v/>
      </c>
      <c r="G283" s="5" t="str">
        <f t="shared" si="2"/>
        <v/>
      </c>
      <c r="K283" s="5" t="str">
        <f>_xlfn.IFNA(VLOOKUP(_xlfn.CONCAT(I283,"|",J283),RiskValues!C:D,2,FALSE()),"")</f>
        <v/>
      </c>
    </row>
    <row r="284" spans="2:11" x14ac:dyDescent="0.45">
      <c r="B284" s="7" t="str">
        <f>_xlfn.IFNA(VLOOKUP(A284,InfoSecThreats!A:B,2,FALSE()),"")</f>
        <v/>
      </c>
      <c r="D284" s="7" t="str">
        <f>_xlfn.IFNA(VLOOKUP(Vulnerabilities!C284,Assets!A:C,2,FALSE()),"")</f>
        <v/>
      </c>
      <c r="E284" s="7" t="str">
        <f>_xlfn.IFNA(VLOOKUP(Vulnerabilities!C284,Assets!A:C,3,FALSE()),"")</f>
        <v/>
      </c>
      <c r="G284" s="5" t="str">
        <f t="shared" si="2"/>
        <v/>
      </c>
      <c r="K284" s="5" t="str">
        <f>_xlfn.IFNA(VLOOKUP(_xlfn.CONCAT(I284,"|",J284),RiskValues!C:D,2,FALSE()),"")</f>
        <v/>
      </c>
    </row>
    <row r="285" spans="2:11" x14ac:dyDescent="0.45">
      <c r="B285" s="7" t="str">
        <f>_xlfn.IFNA(VLOOKUP(A285,InfoSecThreats!A:B,2,FALSE()),"")</f>
        <v/>
      </c>
      <c r="D285" s="7" t="str">
        <f>_xlfn.IFNA(VLOOKUP(Vulnerabilities!C285,Assets!A:C,2,FALSE()),"")</f>
        <v/>
      </c>
      <c r="E285" s="7" t="str">
        <f>_xlfn.IFNA(VLOOKUP(Vulnerabilities!C285,Assets!A:C,3,FALSE()),"")</f>
        <v/>
      </c>
      <c r="G285" s="5" t="str">
        <f t="shared" si="2"/>
        <v/>
      </c>
      <c r="K285" s="5" t="str">
        <f>_xlfn.IFNA(VLOOKUP(_xlfn.CONCAT(I285,"|",J285),RiskValues!C:D,2,FALSE()),"")</f>
        <v/>
      </c>
    </row>
    <row r="286" spans="2:11" x14ac:dyDescent="0.45">
      <c r="B286" s="7" t="str">
        <f>_xlfn.IFNA(VLOOKUP(A286,InfoSecThreats!A:B,2,FALSE()),"")</f>
        <v/>
      </c>
      <c r="D286" s="7" t="str">
        <f>_xlfn.IFNA(VLOOKUP(Vulnerabilities!C286,Assets!A:C,2,FALSE()),"")</f>
        <v/>
      </c>
      <c r="E286" s="7" t="str">
        <f>_xlfn.IFNA(VLOOKUP(Vulnerabilities!C286,Assets!A:C,3,FALSE()),"")</f>
        <v/>
      </c>
      <c r="G286" s="5" t="str">
        <f t="shared" si="2"/>
        <v/>
      </c>
      <c r="K286" s="5" t="str">
        <f>_xlfn.IFNA(VLOOKUP(_xlfn.CONCAT(I286,"|",J286),RiskValues!C:D,2,FALSE()),"")</f>
        <v/>
      </c>
    </row>
    <row r="287" spans="2:11" x14ac:dyDescent="0.45">
      <c r="B287" s="7" t="str">
        <f>_xlfn.IFNA(VLOOKUP(A287,InfoSecThreats!A:B,2,FALSE()),"")</f>
        <v/>
      </c>
      <c r="D287" s="7" t="str">
        <f>_xlfn.IFNA(VLOOKUP(Vulnerabilities!C287,Assets!A:C,2,FALSE()),"")</f>
        <v/>
      </c>
      <c r="E287" s="7" t="str">
        <f>_xlfn.IFNA(VLOOKUP(Vulnerabilities!C287,Assets!A:C,3,FALSE()),"")</f>
        <v/>
      </c>
      <c r="G287" s="5" t="str">
        <f t="shared" si="2"/>
        <v/>
      </c>
      <c r="K287" s="5" t="str">
        <f>_xlfn.IFNA(VLOOKUP(_xlfn.CONCAT(I287,"|",J287),RiskValues!C:D,2,FALSE()),"")</f>
        <v/>
      </c>
    </row>
    <row r="288" spans="2:11" x14ac:dyDescent="0.45">
      <c r="B288" s="7" t="str">
        <f>_xlfn.IFNA(VLOOKUP(A288,InfoSecThreats!A:B,2,FALSE()),"")</f>
        <v/>
      </c>
      <c r="D288" s="7" t="str">
        <f>_xlfn.IFNA(VLOOKUP(Vulnerabilities!C288,Assets!A:C,2,FALSE()),"")</f>
        <v/>
      </c>
      <c r="E288" s="7" t="str">
        <f>_xlfn.IFNA(VLOOKUP(Vulnerabilities!C288,Assets!A:C,3,FALSE()),"")</f>
        <v/>
      </c>
      <c r="G288" s="5" t="str">
        <f t="shared" si="2"/>
        <v/>
      </c>
      <c r="K288" s="5" t="str">
        <f>_xlfn.IFNA(VLOOKUP(_xlfn.CONCAT(I288,"|",J288),RiskValues!C:D,2,FALSE()),"")</f>
        <v/>
      </c>
    </row>
    <row r="289" spans="2:11" x14ac:dyDescent="0.45">
      <c r="B289" s="7" t="str">
        <f>_xlfn.IFNA(VLOOKUP(A289,InfoSecThreats!A:B,2,FALSE()),"")</f>
        <v/>
      </c>
      <c r="D289" s="7" t="str">
        <f>_xlfn.IFNA(VLOOKUP(Vulnerabilities!C289,Assets!A:C,2,FALSE()),"")</f>
        <v/>
      </c>
      <c r="E289" s="7" t="str">
        <f>_xlfn.IFNA(VLOOKUP(Vulnerabilities!C289,Assets!A:C,3,FALSE()),"")</f>
        <v/>
      </c>
      <c r="G289" s="5" t="str">
        <f t="shared" si="2"/>
        <v/>
      </c>
      <c r="K289" s="5" t="str">
        <f>_xlfn.IFNA(VLOOKUP(_xlfn.CONCAT(I289,"|",J289),RiskValues!C:D,2,FALSE()),"")</f>
        <v/>
      </c>
    </row>
    <row r="290" spans="2:11" x14ac:dyDescent="0.45">
      <c r="B290" s="7" t="str">
        <f>_xlfn.IFNA(VLOOKUP(A290,InfoSecThreats!A:B,2,FALSE()),"")</f>
        <v/>
      </c>
      <c r="D290" s="7" t="str">
        <f>_xlfn.IFNA(VLOOKUP(Vulnerabilities!C290,Assets!A:C,2,FALSE()),"")</f>
        <v/>
      </c>
      <c r="E290" s="7" t="str">
        <f>_xlfn.IFNA(VLOOKUP(Vulnerabilities!C290,Assets!A:C,3,FALSE()),"")</f>
        <v/>
      </c>
      <c r="G290" s="5" t="str">
        <f t="shared" si="2"/>
        <v/>
      </c>
      <c r="K290" s="5" t="str">
        <f>_xlfn.IFNA(VLOOKUP(_xlfn.CONCAT(I290,"|",J290),RiskValues!C:D,2,FALSE()),"")</f>
        <v/>
      </c>
    </row>
    <row r="291" spans="2:11" x14ac:dyDescent="0.45">
      <c r="B291" s="7" t="str">
        <f>_xlfn.IFNA(VLOOKUP(A291,InfoSecThreats!A:B,2,FALSE()),"")</f>
        <v/>
      </c>
      <c r="D291" s="7" t="str">
        <f>_xlfn.IFNA(VLOOKUP(Vulnerabilities!C291,Assets!A:C,2,FALSE()),"")</f>
        <v/>
      </c>
      <c r="E291" s="7" t="str">
        <f>_xlfn.IFNA(VLOOKUP(Vulnerabilities!C291,Assets!A:C,3,FALSE()),"")</f>
        <v/>
      </c>
      <c r="G291" s="5" t="str">
        <f t="shared" si="2"/>
        <v/>
      </c>
      <c r="K291" s="5" t="str">
        <f>_xlfn.IFNA(VLOOKUP(_xlfn.CONCAT(I291,"|",J291),RiskValues!C:D,2,FALSE()),"")</f>
        <v/>
      </c>
    </row>
    <row r="292" spans="2:11" x14ac:dyDescent="0.45">
      <c r="B292" s="7" t="str">
        <f>_xlfn.IFNA(VLOOKUP(A292,InfoSecThreats!A:B,2,FALSE()),"")</f>
        <v/>
      </c>
      <c r="D292" s="7" t="str">
        <f>_xlfn.IFNA(VLOOKUP(Vulnerabilities!C292,Assets!A:C,2,FALSE()),"")</f>
        <v/>
      </c>
      <c r="E292" s="7" t="str">
        <f>_xlfn.IFNA(VLOOKUP(Vulnerabilities!C292,Assets!A:C,3,FALSE()),"")</f>
        <v/>
      </c>
      <c r="G292" s="5" t="str">
        <f t="shared" si="2"/>
        <v/>
      </c>
      <c r="K292" s="5" t="str">
        <f>_xlfn.IFNA(VLOOKUP(_xlfn.CONCAT(I292,"|",J292),RiskValues!C:D,2,FALSE()),"")</f>
        <v/>
      </c>
    </row>
    <row r="293" spans="2:11" x14ac:dyDescent="0.45">
      <c r="B293" s="7" t="str">
        <f>_xlfn.IFNA(VLOOKUP(A293,InfoSecThreats!A:B,2,FALSE()),"")</f>
        <v/>
      </c>
      <c r="D293" s="7" t="str">
        <f>_xlfn.IFNA(VLOOKUP(Vulnerabilities!C293,Assets!A:C,2,FALSE()),"")</f>
        <v/>
      </c>
      <c r="E293" s="7" t="str">
        <f>_xlfn.IFNA(VLOOKUP(Vulnerabilities!C293,Assets!A:C,3,FALSE()),"")</f>
        <v/>
      </c>
      <c r="G293" s="5" t="str">
        <f t="shared" ref="G293:G356" si="3">IF(ISBLANK(F293),"",_xlfn.CONCAT("T",A293,"V",F293,"A",C293))</f>
        <v/>
      </c>
      <c r="K293" s="5" t="str">
        <f>_xlfn.IFNA(VLOOKUP(_xlfn.CONCAT(I293,"|",J293),RiskValues!C:D,2,FALSE()),"")</f>
        <v/>
      </c>
    </row>
    <row r="294" spans="2:11" x14ac:dyDescent="0.45">
      <c r="B294" s="7" t="str">
        <f>_xlfn.IFNA(VLOOKUP(A294,InfoSecThreats!A:B,2,FALSE()),"")</f>
        <v/>
      </c>
      <c r="D294" s="7" t="str">
        <f>_xlfn.IFNA(VLOOKUP(Vulnerabilities!C294,Assets!A:C,2,FALSE()),"")</f>
        <v/>
      </c>
      <c r="E294" s="7" t="str">
        <f>_xlfn.IFNA(VLOOKUP(Vulnerabilities!C294,Assets!A:C,3,FALSE()),"")</f>
        <v/>
      </c>
      <c r="G294" s="5" t="str">
        <f t="shared" si="3"/>
        <v/>
      </c>
      <c r="K294" s="5" t="str">
        <f>_xlfn.IFNA(VLOOKUP(_xlfn.CONCAT(I294,"|",J294),RiskValues!C:D,2,FALSE()),"")</f>
        <v/>
      </c>
    </row>
    <row r="295" spans="2:11" x14ac:dyDescent="0.45">
      <c r="B295" s="7" t="str">
        <f>_xlfn.IFNA(VLOOKUP(A295,InfoSecThreats!A:B,2,FALSE()),"")</f>
        <v/>
      </c>
      <c r="D295" s="7" t="str">
        <f>_xlfn.IFNA(VLOOKUP(Vulnerabilities!C295,Assets!A:C,2,FALSE()),"")</f>
        <v/>
      </c>
      <c r="E295" s="7" t="str">
        <f>_xlfn.IFNA(VLOOKUP(Vulnerabilities!C295,Assets!A:C,3,FALSE()),"")</f>
        <v/>
      </c>
      <c r="G295" s="5" t="str">
        <f t="shared" si="3"/>
        <v/>
      </c>
      <c r="K295" s="5" t="str">
        <f>_xlfn.IFNA(VLOOKUP(_xlfn.CONCAT(I295,"|",J295),RiskValues!C:D,2,FALSE()),"")</f>
        <v/>
      </c>
    </row>
    <row r="296" spans="2:11" x14ac:dyDescent="0.45">
      <c r="B296" s="7" t="str">
        <f>_xlfn.IFNA(VLOOKUP(A296,InfoSecThreats!A:B,2,FALSE()),"")</f>
        <v/>
      </c>
      <c r="D296" s="7" t="str">
        <f>_xlfn.IFNA(VLOOKUP(Vulnerabilities!C296,Assets!A:C,2,FALSE()),"")</f>
        <v/>
      </c>
      <c r="E296" s="7" t="str">
        <f>_xlfn.IFNA(VLOOKUP(Vulnerabilities!C296,Assets!A:C,3,FALSE()),"")</f>
        <v/>
      </c>
      <c r="G296" s="5" t="str">
        <f t="shared" si="3"/>
        <v/>
      </c>
      <c r="K296" s="5" t="str">
        <f>_xlfn.IFNA(VLOOKUP(_xlfn.CONCAT(I296,"|",J296),RiskValues!C:D,2,FALSE()),"")</f>
        <v/>
      </c>
    </row>
    <row r="297" spans="2:11" x14ac:dyDescent="0.45">
      <c r="B297" s="7" t="str">
        <f>_xlfn.IFNA(VLOOKUP(A297,InfoSecThreats!A:B,2,FALSE()),"")</f>
        <v/>
      </c>
      <c r="D297" s="7" t="str">
        <f>_xlfn.IFNA(VLOOKUP(Vulnerabilities!C297,Assets!A:C,2,FALSE()),"")</f>
        <v/>
      </c>
      <c r="E297" s="7" t="str">
        <f>_xlfn.IFNA(VLOOKUP(Vulnerabilities!C297,Assets!A:C,3,FALSE()),"")</f>
        <v/>
      </c>
      <c r="G297" s="5" t="str">
        <f t="shared" si="3"/>
        <v/>
      </c>
      <c r="K297" s="5" t="str">
        <f>_xlfn.IFNA(VLOOKUP(_xlfn.CONCAT(I297,"|",J297),RiskValues!C:D,2,FALSE()),"")</f>
        <v/>
      </c>
    </row>
    <row r="298" spans="2:11" x14ac:dyDescent="0.45">
      <c r="B298" s="7" t="str">
        <f>_xlfn.IFNA(VLOOKUP(A298,InfoSecThreats!A:B,2,FALSE()),"")</f>
        <v/>
      </c>
      <c r="D298" s="7" t="str">
        <f>_xlfn.IFNA(VLOOKUP(Vulnerabilities!C298,Assets!A:C,2,FALSE()),"")</f>
        <v/>
      </c>
      <c r="E298" s="7" t="str">
        <f>_xlfn.IFNA(VLOOKUP(Vulnerabilities!C298,Assets!A:C,3,FALSE()),"")</f>
        <v/>
      </c>
      <c r="G298" s="5" t="str">
        <f t="shared" si="3"/>
        <v/>
      </c>
      <c r="K298" s="5" t="str">
        <f>_xlfn.IFNA(VLOOKUP(_xlfn.CONCAT(I298,"|",J298),RiskValues!C:D,2,FALSE()),"")</f>
        <v/>
      </c>
    </row>
    <row r="299" spans="2:11" x14ac:dyDescent="0.45">
      <c r="B299" s="7" t="str">
        <f>_xlfn.IFNA(VLOOKUP(A299,InfoSecThreats!A:B,2,FALSE()),"")</f>
        <v/>
      </c>
      <c r="D299" s="7" t="str">
        <f>_xlfn.IFNA(VLOOKUP(Vulnerabilities!C299,Assets!A:C,2,FALSE()),"")</f>
        <v/>
      </c>
      <c r="E299" s="7" t="str">
        <f>_xlfn.IFNA(VLOOKUP(Vulnerabilities!C299,Assets!A:C,3,FALSE()),"")</f>
        <v/>
      </c>
      <c r="G299" s="5" t="str">
        <f t="shared" si="3"/>
        <v/>
      </c>
      <c r="K299" s="5" t="str">
        <f>_xlfn.IFNA(VLOOKUP(_xlfn.CONCAT(I299,"|",J299),RiskValues!C:D,2,FALSE()),"")</f>
        <v/>
      </c>
    </row>
    <row r="300" spans="2:11" x14ac:dyDescent="0.45">
      <c r="B300" s="7" t="str">
        <f>_xlfn.IFNA(VLOOKUP(A300,InfoSecThreats!A:B,2,FALSE()),"")</f>
        <v/>
      </c>
      <c r="D300" s="7" t="str">
        <f>_xlfn.IFNA(VLOOKUP(Vulnerabilities!C300,Assets!A:C,2,FALSE()),"")</f>
        <v/>
      </c>
      <c r="E300" s="7" t="str">
        <f>_xlfn.IFNA(VLOOKUP(Vulnerabilities!C300,Assets!A:C,3,FALSE()),"")</f>
        <v/>
      </c>
      <c r="G300" s="5" t="str">
        <f t="shared" si="3"/>
        <v/>
      </c>
      <c r="K300" s="5" t="str">
        <f>_xlfn.IFNA(VLOOKUP(_xlfn.CONCAT(I300,"|",J300),RiskValues!C:D,2,FALSE()),"")</f>
        <v/>
      </c>
    </row>
    <row r="301" spans="2:11" x14ac:dyDescent="0.45">
      <c r="B301" s="7" t="str">
        <f>_xlfn.IFNA(VLOOKUP(A301,InfoSecThreats!A:B,2,FALSE()),"")</f>
        <v/>
      </c>
      <c r="D301" s="7" t="str">
        <f>_xlfn.IFNA(VLOOKUP(Vulnerabilities!C301,Assets!A:C,2,FALSE()),"")</f>
        <v/>
      </c>
      <c r="E301" s="7" t="str">
        <f>_xlfn.IFNA(VLOOKUP(Vulnerabilities!C301,Assets!A:C,3,FALSE()),"")</f>
        <v/>
      </c>
      <c r="G301" s="5" t="str">
        <f t="shared" si="3"/>
        <v/>
      </c>
      <c r="K301" s="5" t="str">
        <f>_xlfn.IFNA(VLOOKUP(_xlfn.CONCAT(I301,"|",J301),RiskValues!C:D,2,FALSE()),"")</f>
        <v/>
      </c>
    </row>
    <row r="302" spans="2:11" x14ac:dyDescent="0.45">
      <c r="B302" s="7" t="str">
        <f>_xlfn.IFNA(VLOOKUP(A302,InfoSecThreats!A:B,2,FALSE()),"")</f>
        <v/>
      </c>
      <c r="D302" s="7" t="str">
        <f>_xlfn.IFNA(VLOOKUP(Vulnerabilities!C302,Assets!A:C,2,FALSE()),"")</f>
        <v/>
      </c>
      <c r="E302" s="7" t="str">
        <f>_xlfn.IFNA(VLOOKUP(Vulnerabilities!C302,Assets!A:C,3,FALSE()),"")</f>
        <v/>
      </c>
      <c r="G302" s="5" t="str">
        <f t="shared" si="3"/>
        <v/>
      </c>
      <c r="K302" s="5" t="str">
        <f>_xlfn.IFNA(VLOOKUP(_xlfn.CONCAT(I302,"|",J302),RiskValues!C:D,2,FALSE()),"")</f>
        <v/>
      </c>
    </row>
    <row r="303" spans="2:11" x14ac:dyDescent="0.45">
      <c r="B303" s="7" t="str">
        <f>_xlfn.IFNA(VLOOKUP(A303,InfoSecThreats!A:B,2,FALSE()),"")</f>
        <v/>
      </c>
      <c r="D303" s="7" t="str">
        <f>_xlfn.IFNA(VLOOKUP(Vulnerabilities!C303,Assets!A:C,2,FALSE()),"")</f>
        <v/>
      </c>
      <c r="E303" s="7" t="str">
        <f>_xlfn.IFNA(VLOOKUP(Vulnerabilities!C303,Assets!A:C,3,FALSE()),"")</f>
        <v/>
      </c>
      <c r="G303" s="5" t="str">
        <f t="shared" si="3"/>
        <v/>
      </c>
      <c r="K303" s="5" t="str">
        <f>_xlfn.IFNA(VLOOKUP(_xlfn.CONCAT(I303,"|",J303),RiskValues!C:D,2,FALSE()),"")</f>
        <v/>
      </c>
    </row>
    <row r="304" spans="2:11" x14ac:dyDescent="0.45">
      <c r="B304" s="7" t="str">
        <f>_xlfn.IFNA(VLOOKUP(A304,InfoSecThreats!A:B,2,FALSE()),"")</f>
        <v/>
      </c>
      <c r="D304" s="7" t="str">
        <f>_xlfn.IFNA(VLOOKUP(Vulnerabilities!C304,Assets!A:C,2,FALSE()),"")</f>
        <v/>
      </c>
      <c r="E304" s="7" t="str">
        <f>_xlfn.IFNA(VLOOKUP(Vulnerabilities!C304,Assets!A:C,3,FALSE()),"")</f>
        <v/>
      </c>
      <c r="G304" s="5" t="str">
        <f t="shared" si="3"/>
        <v/>
      </c>
      <c r="K304" s="5" t="str">
        <f>_xlfn.IFNA(VLOOKUP(_xlfn.CONCAT(I304,"|",J304),RiskValues!C:D,2,FALSE()),"")</f>
        <v/>
      </c>
    </row>
    <row r="305" spans="2:11" x14ac:dyDescent="0.45">
      <c r="B305" s="7" t="str">
        <f>_xlfn.IFNA(VLOOKUP(A305,InfoSecThreats!A:B,2,FALSE()),"")</f>
        <v/>
      </c>
      <c r="D305" s="7" t="str">
        <f>_xlfn.IFNA(VLOOKUP(Vulnerabilities!C305,Assets!A:C,2,FALSE()),"")</f>
        <v/>
      </c>
      <c r="E305" s="7" t="str">
        <f>_xlfn.IFNA(VLOOKUP(Vulnerabilities!C305,Assets!A:C,3,FALSE()),"")</f>
        <v/>
      </c>
      <c r="G305" s="5" t="str">
        <f t="shared" si="3"/>
        <v/>
      </c>
      <c r="K305" s="5" t="str">
        <f>_xlfn.IFNA(VLOOKUP(_xlfn.CONCAT(I305,"|",J305),RiskValues!C:D,2,FALSE()),"")</f>
        <v/>
      </c>
    </row>
    <row r="306" spans="2:11" x14ac:dyDescent="0.45">
      <c r="B306" s="7" t="str">
        <f>_xlfn.IFNA(VLOOKUP(A306,InfoSecThreats!A:B,2,FALSE()),"")</f>
        <v/>
      </c>
      <c r="D306" s="7" t="str">
        <f>_xlfn.IFNA(VLOOKUP(Vulnerabilities!C306,Assets!A:C,2,FALSE()),"")</f>
        <v/>
      </c>
      <c r="E306" s="7" t="str">
        <f>_xlfn.IFNA(VLOOKUP(Vulnerabilities!C306,Assets!A:C,3,FALSE()),"")</f>
        <v/>
      </c>
      <c r="G306" s="5" t="str">
        <f t="shared" si="3"/>
        <v/>
      </c>
      <c r="K306" s="5" t="str">
        <f>_xlfn.IFNA(VLOOKUP(_xlfn.CONCAT(I306,"|",J306),RiskValues!C:D,2,FALSE()),"")</f>
        <v/>
      </c>
    </row>
    <row r="307" spans="2:11" x14ac:dyDescent="0.45">
      <c r="B307" s="7" t="str">
        <f>_xlfn.IFNA(VLOOKUP(A307,InfoSecThreats!A:B,2,FALSE()),"")</f>
        <v/>
      </c>
      <c r="D307" s="7" t="str">
        <f>_xlfn.IFNA(VLOOKUP(Vulnerabilities!C307,Assets!A:C,2,FALSE()),"")</f>
        <v/>
      </c>
      <c r="E307" s="7" t="str">
        <f>_xlfn.IFNA(VLOOKUP(Vulnerabilities!C307,Assets!A:C,3,FALSE()),"")</f>
        <v/>
      </c>
      <c r="G307" s="5" t="str">
        <f t="shared" si="3"/>
        <v/>
      </c>
      <c r="K307" s="5" t="str">
        <f>_xlfn.IFNA(VLOOKUP(_xlfn.CONCAT(I307,"|",J307),RiskValues!C:D,2,FALSE()),"")</f>
        <v/>
      </c>
    </row>
    <row r="308" spans="2:11" x14ac:dyDescent="0.45">
      <c r="B308" s="7" t="str">
        <f>_xlfn.IFNA(VLOOKUP(A308,InfoSecThreats!A:B,2,FALSE()),"")</f>
        <v/>
      </c>
      <c r="D308" s="7" t="str">
        <f>_xlfn.IFNA(VLOOKUP(Vulnerabilities!C308,Assets!A:C,2,FALSE()),"")</f>
        <v/>
      </c>
      <c r="E308" s="7" t="str">
        <f>_xlfn.IFNA(VLOOKUP(Vulnerabilities!C308,Assets!A:C,3,FALSE()),"")</f>
        <v/>
      </c>
      <c r="G308" s="5" t="str">
        <f t="shared" si="3"/>
        <v/>
      </c>
      <c r="K308" s="5" t="str">
        <f>_xlfn.IFNA(VLOOKUP(_xlfn.CONCAT(I308,"|",J308),RiskValues!C:D,2,FALSE()),"")</f>
        <v/>
      </c>
    </row>
    <row r="309" spans="2:11" x14ac:dyDescent="0.45">
      <c r="B309" s="7" t="str">
        <f>_xlfn.IFNA(VLOOKUP(A309,InfoSecThreats!A:B,2,FALSE()),"")</f>
        <v/>
      </c>
      <c r="D309" s="7" t="str">
        <f>_xlfn.IFNA(VLOOKUP(Vulnerabilities!C309,Assets!A:C,2,FALSE()),"")</f>
        <v/>
      </c>
      <c r="E309" s="7" t="str">
        <f>_xlfn.IFNA(VLOOKUP(Vulnerabilities!C309,Assets!A:C,3,FALSE()),"")</f>
        <v/>
      </c>
      <c r="G309" s="5" t="str">
        <f t="shared" si="3"/>
        <v/>
      </c>
      <c r="K309" s="5" t="str">
        <f>_xlfn.IFNA(VLOOKUP(_xlfn.CONCAT(I309,"|",J309),RiskValues!C:D,2,FALSE()),"")</f>
        <v/>
      </c>
    </row>
    <row r="310" spans="2:11" x14ac:dyDescent="0.45">
      <c r="B310" s="7" t="str">
        <f>_xlfn.IFNA(VLOOKUP(A310,InfoSecThreats!A:B,2,FALSE()),"")</f>
        <v/>
      </c>
      <c r="D310" s="7" t="str">
        <f>_xlfn.IFNA(VLOOKUP(Vulnerabilities!C310,Assets!A:C,2,FALSE()),"")</f>
        <v/>
      </c>
      <c r="E310" s="7" t="str">
        <f>_xlfn.IFNA(VLOOKUP(Vulnerabilities!C310,Assets!A:C,3,FALSE()),"")</f>
        <v/>
      </c>
      <c r="G310" s="5" t="str">
        <f t="shared" si="3"/>
        <v/>
      </c>
      <c r="K310" s="5" t="str">
        <f>_xlfn.IFNA(VLOOKUP(_xlfn.CONCAT(I310,"|",J310),RiskValues!C:D,2,FALSE()),"")</f>
        <v/>
      </c>
    </row>
    <row r="311" spans="2:11" x14ac:dyDescent="0.45">
      <c r="B311" s="7" t="str">
        <f>_xlfn.IFNA(VLOOKUP(A311,InfoSecThreats!A:B,2,FALSE()),"")</f>
        <v/>
      </c>
      <c r="D311" s="7" t="str">
        <f>_xlfn.IFNA(VLOOKUP(Vulnerabilities!C311,Assets!A:C,2,FALSE()),"")</f>
        <v/>
      </c>
      <c r="E311" s="7" t="str">
        <f>_xlfn.IFNA(VLOOKUP(Vulnerabilities!C311,Assets!A:C,3,FALSE()),"")</f>
        <v/>
      </c>
      <c r="G311" s="5" t="str">
        <f t="shared" si="3"/>
        <v/>
      </c>
      <c r="K311" s="5" t="str">
        <f>_xlfn.IFNA(VLOOKUP(_xlfn.CONCAT(I311,"|",J311),RiskValues!C:D,2,FALSE()),"")</f>
        <v/>
      </c>
    </row>
    <row r="312" spans="2:11" x14ac:dyDescent="0.45">
      <c r="B312" s="7" t="str">
        <f>_xlfn.IFNA(VLOOKUP(A312,InfoSecThreats!A:B,2,FALSE()),"")</f>
        <v/>
      </c>
      <c r="D312" s="7" t="str">
        <f>_xlfn.IFNA(VLOOKUP(Vulnerabilities!C312,Assets!A:C,2,FALSE()),"")</f>
        <v/>
      </c>
      <c r="E312" s="7" t="str">
        <f>_xlfn.IFNA(VLOOKUP(Vulnerabilities!C312,Assets!A:C,3,FALSE()),"")</f>
        <v/>
      </c>
      <c r="G312" s="5" t="str">
        <f t="shared" si="3"/>
        <v/>
      </c>
      <c r="K312" s="5" t="str">
        <f>_xlfn.IFNA(VLOOKUP(_xlfn.CONCAT(I312,"|",J312),RiskValues!C:D,2,FALSE()),"")</f>
        <v/>
      </c>
    </row>
    <row r="313" spans="2:11" x14ac:dyDescent="0.45">
      <c r="B313" s="7" t="str">
        <f>_xlfn.IFNA(VLOOKUP(A313,InfoSecThreats!A:B,2,FALSE()),"")</f>
        <v/>
      </c>
      <c r="D313" s="7" t="str">
        <f>_xlfn.IFNA(VLOOKUP(Vulnerabilities!C313,Assets!A:C,2,FALSE()),"")</f>
        <v/>
      </c>
      <c r="E313" s="7" t="str">
        <f>_xlfn.IFNA(VLOOKUP(Vulnerabilities!C313,Assets!A:C,3,FALSE()),"")</f>
        <v/>
      </c>
      <c r="G313" s="5" t="str">
        <f t="shared" si="3"/>
        <v/>
      </c>
      <c r="K313" s="5" t="str">
        <f>_xlfn.IFNA(VLOOKUP(_xlfn.CONCAT(I313,"|",J313),RiskValues!C:D,2,FALSE()),"")</f>
        <v/>
      </c>
    </row>
    <row r="314" spans="2:11" x14ac:dyDescent="0.45">
      <c r="B314" s="7" t="str">
        <f>_xlfn.IFNA(VLOOKUP(A314,InfoSecThreats!A:B,2,FALSE()),"")</f>
        <v/>
      </c>
      <c r="D314" s="7" t="str">
        <f>_xlfn.IFNA(VLOOKUP(Vulnerabilities!C314,Assets!A:C,2,FALSE()),"")</f>
        <v/>
      </c>
      <c r="E314" s="7" t="str">
        <f>_xlfn.IFNA(VLOOKUP(Vulnerabilities!C314,Assets!A:C,3,FALSE()),"")</f>
        <v/>
      </c>
      <c r="G314" s="5" t="str">
        <f t="shared" si="3"/>
        <v/>
      </c>
      <c r="K314" s="5" t="str">
        <f>_xlfn.IFNA(VLOOKUP(_xlfn.CONCAT(I314,"|",J314),RiskValues!C:D,2,FALSE()),"")</f>
        <v/>
      </c>
    </row>
    <row r="315" spans="2:11" x14ac:dyDescent="0.45">
      <c r="B315" s="7" t="str">
        <f>_xlfn.IFNA(VLOOKUP(A315,InfoSecThreats!A:B,2,FALSE()),"")</f>
        <v/>
      </c>
      <c r="D315" s="7" t="str">
        <f>_xlfn.IFNA(VLOOKUP(Vulnerabilities!C315,Assets!A:C,2,FALSE()),"")</f>
        <v/>
      </c>
      <c r="E315" s="7" t="str">
        <f>_xlfn.IFNA(VLOOKUP(Vulnerabilities!C315,Assets!A:C,3,FALSE()),"")</f>
        <v/>
      </c>
      <c r="G315" s="5" t="str">
        <f t="shared" si="3"/>
        <v/>
      </c>
      <c r="K315" s="5" t="str">
        <f>_xlfn.IFNA(VLOOKUP(_xlfn.CONCAT(I315,"|",J315),RiskValues!C:D,2,FALSE()),"")</f>
        <v/>
      </c>
    </row>
    <row r="316" spans="2:11" x14ac:dyDescent="0.45">
      <c r="B316" s="7" t="str">
        <f>_xlfn.IFNA(VLOOKUP(A316,InfoSecThreats!A:B,2,FALSE()),"")</f>
        <v/>
      </c>
      <c r="D316" s="7" t="str">
        <f>_xlfn.IFNA(VLOOKUP(Vulnerabilities!C316,Assets!A:C,2,FALSE()),"")</f>
        <v/>
      </c>
      <c r="E316" s="7" t="str">
        <f>_xlfn.IFNA(VLOOKUP(Vulnerabilities!C316,Assets!A:C,3,FALSE()),"")</f>
        <v/>
      </c>
      <c r="G316" s="5" t="str">
        <f t="shared" si="3"/>
        <v/>
      </c>
      <c r="K316" s="5" t="str">
        <f>_xlfn.IFNA(VLOOKUP(_xlfn.CONCAT(I316,"|",J316),RiskValues!C:D,2,FALSE()),"")</f>
        <v/>
      </c>
    </row>
    <row r="317" spans="2:11" x14ac:dyDescent="0.45">
      <c r="B317" s="7" t="str">
        <f>_xlfn.IFNA(VLOOKUP(A317,InfoSecThreats!A:B,2,FALSE()),"")</f>
        <v/>
      </c>
      <c r="D317" s="7" t="str">
        <f>_xlfn.IFNA(VLOOKUP(Vulnerabilities!C317,Assets!A:C,2,FALSE()),"")</f>
        <v/>
      </c>
      <c r="E317" s="7" t="str">
        <f>_xlfn.IFNA(VLOOKUP(Vulnerabilities!C317,Assets!A:C,3,FALSE()),"")</f>
        <v/>
      </c>
      <c r="G317" s="5" t="str">
        <f t="shared" si="3"/>
        <v/>
      </c>
      <c r="K317" s="5" t="str">
        <f>_xlfn.IFNA(VLOOKUP(_xlfn.CONCAT(I317,"|",J317),RiskValues!C:D,2,FALSE()),"")</f>
        <v/>
      </c>
    </row>
    <row r="318" spans="2:11" x14ac:dyDescent="0.45">
      <c r="B318" s="7" t="str">
        <f>_xlfn.IFNA(VLOOKUP(A318,InfoSecThreats!A:B,2,FALSE()),"")</f>
        <v/>
      </c>
      <c r="D318" s="7" t="str">
        <f>_xlfn.IFNA(VLOOKUP(Vulnerabilities!C318,Assets!A:C,2,FALSE()),"")</f>
        <v/>
      </c>
      <c r="E318" s="7" t="str">
        <f>_xlfn.IFNA(VLOOKUP(Vulnerabilities!C318,Assets!A:C,3,FALSE()),"")</f>
        <v/>
      </c>
      <c r="G318" s="5" t="str">
        <f t="shared" si="3"/>
        <v/>
      </c>
      <c r="K318" s="5" t="str">
        <f>_xlfn.IFNA(VLOOKUP(_xlfn.CONCAT(I318,"|",J318),RiskValues!C:D,2,FALSE()),"")</f>
        <v/>
      </c>
    </row>
    <row r="319" spans="2:11" x14ac:dyDescent="0.45">
      <c r="B319" s="7" t="str">
        <f>_xlfn.IFNA(VLOOKUP(A319,InfoSecThreats!A:B,2,FALSE()),"")</f>
        <v/>
      </c>
      <c r="D319" s="7" t="str">
        <f>_xlfn.IFNA(VLOOKUP(Vulnerabilities!C319,Assets!A:C,2,FALSE()),"")</f>
        <v/>
      </c>
      <c r="E319" s="7" t="str">
        <f>_xlfn.IFNA(VLOOKUP(Vulnerabilities!C319,Assets!A:C,3,FALSE()),"")</f>
        <v/>
      </c>
      <c r="G319" s="5" t="str">
        <f t="shared" si="3"/>
        <v/>
      </c>
      <c r="K319" s="5" t="str">
        <f>_xlfn.IFNA(VLOOKUP(_xlfn.CONCAT(I319,"|",J319),RiskValues!C:D,2,FALSE()),"")</f>
        <v/>
      </c>
    </row>
    <row r="320" spans="2:11" x14ac:dyDescent="0.45">
      <c r="B320" s="7" t="str">
        <f>_xlfn.IFNA(VLOOKUP(A320,InfoSecThreats!A:B,2,FALSE()),"")</f>
        <v/>
      </c>
      <c r="D320" s="7" t="str">
        <f>_xlfn.IFNA(VLOOKUP(Vulnerabilities!C320,Assets!A:C,2,FALSE()),"")</f>
        <v/>
      </c>
      <c r="E320" s="7" t="str">
        <f>_xlfn.IFNA(VLOOKUP(Vulnerabilities!C320,Assets!A:C,3,FALSE()),"")</f>
        <v/>
      </c>
      <c r="G320" s="5" t="str">
        <f t="shared" si="3"/>
        <v/>
      </c>
      <c r="K320" s="5" t="str">
        <f>_xlfn.IFNA(VLOOKUP(_xlfn.CONCAT(I320,"|",J320),RiskValues!C:D,2,FALSE()),"")</f>
        <v/>
      </c>
    </row>
    <row r="321" spans="2:11" x14ac:dyDescent="0.45">
      <c r="B321" s="7" t="str">
        <f>_xlfn.IFNA(VLOOKUP(A321,InfoSecThreats!A:B,2,FALSE()),"")</f>
        <v/>
      </c>
      <c r="D321" s="7" t="str">
        <f>_xlfn.IFNA(VLOOKUP(Vulnerabilities!C321,Assets!A:C,2,FALSE()),"")</f>
        <v/>
      </c>
      <c r="E321" s="7" t="str">
        <f>_xlfn.IFNA(VLOOKUP(Vulnerabilities!C321,Assets!A:C,3,FALSE()),"")</f>
        <v/>
      </c>
      <c r="G321" s="5" t="str">
        <f t="shared" si="3"/>
        <v/>
      </c>
      <c r="K321" s="5" t="str">
        <f>_xlfn.IFNA(VLOOKUP(_xlfn.CONCAT(I321,"|",J321),RiskValues!C:D,2,FALSE()),"")</f>
        <v/>
      </c>
    </row>
    <row r="322" spans="2:11" x14ac:dyDescent="0.45">
      <c r="B322" s="7" t="str">
        <f>_xlfn.IFNA(VLOOKUP(A322,InfoSecThreats!A:B,2,FALSE()),"")</f>
        <v/>
      </c>
      <c r="D322" s="7" t="str">
        <f>_xlfn.IFNA(VLOOKUP(Vulnerabilities!C322,Assets!A:C,2,FALSE()),"")</f>
        <v/>
      </c>
      <c r="E322" s="7" t="str">
        <f>_xlfn.IFNA(VLOOKUP(Vulnerabilities!C322,Assets!A:C,3,FALSE()),"")</f>
        <v/>
      </c>
      <c r="G322" s="5" t="str">
        <f t="shared" si="3"/>
        <v/>
      </c>
      <c r="K322" s="5" t="str">
        <f>_xlfn.IFNA(VLOOKUP(_xlfn.CONCAT(I322,"|",J322),RiskValues!C:D,2,FALSE()),"")</f>
        <v/>
      </c>
    </row>
    <row r="323" spans="2:11" x14ac:dyDescent="0.45">
      <c r="B323" s="7" t="str">
        <f>_xlfn.IFNA(VLOOKUP(A323,InfoSecThreats!A:B,2,FALSE()),"")</f>
        <v/>
      </c>
      <c r="D323" s="7" t="str">
        <f>_xlfn.IFNA(VLOOKUP(Vulnerabilities!C323,Assets!A:C,2,FALSE()),"")</f>
        <v/>
      </c>
      <c r="E323" s="7" t="str">
        <f>_xlfn.IFNA(VLOOKUP(Vulnerabilities!C323,Assets!A:C,3,FALSE()),"")</f>
        <v/>
      </c>
      <c r="G323" s="5" t="str">
        <f t="shared" si="3"/>
        <v/>
      </c>
      <c r="K323" s="5" t="str">
        <f>_xlfn.IFNA(VLOOKUP(_xlfn.CONCAT(I323,"|",J323),RiskValues!C:D,2,FALSE()),"")</f>
        <v/>
      </c>
    </row>
    <row r="324" spans="2:11" x14ac:dyDescent="0.45">
      <c r="B324" s="7" t="str">
        <f>_xlfn.IFNA(VLOOKUP(A324,InfoSecThreats!A:B,2,FALSE()),"")</f>
        <v/>
      </c>
      <c r="D324" s="7" t="str">
        <f>_xlfn.IFNA(VLOOKUP(Vulnerabilities!C324,Assets!A:C,2,FALSE()),"")</f>
        <v/>
      </c>
      <c r="E324" s="7" t="str">
        <f>_xlfn.IFNA(VLOOKUP(Vulnerabilities!C324,Assets!A:C,3,FALSE()),"")</f>
        <v/>
      </c>
      <c r="G324" s="5" t="str">
        <f t="shared" si="3"/>
        <v/>
      </c>
      <c r="K324" s="5" t="str">
        <f>_xlfn.IFNA(VLOOKUP(_xlfn.CONCAT(I324,"|",J324),RiskValues!C:D,2,FALSE()),"")</f>
        <v/>
      </c>
    </row>
    <row r="325" spans="2:11" x14ac:dyDescent="0.45">
      <c r="B325" s="7" t="str">
        <f>_xlfn.IFNA(VLOOKUP(A325,InfoSecThreats!A:B,2,FALSE()),"")</f>
        <v/>
      </c>
      <c r="D325" s="7" t="str">
        <f>_xlfn.IFNA(VLOOKUP(Vulnerabilities!C325,Assets!A:C,2,FALSE()),"")</f>
        <v/>
      </c>
      <c r="E325" s="7" t="str">
        <f>_xlfn.IFNA(VLOOKUP(Vulnerabilities!C325,Assets!A:C,3,FALSE()),"")</f>
        <v/>
      </c>
      <c r="G325" s="5" t="str">
        <f t="shared" si="3"/>
        <v/>
      </c>
      <c r="K325" s="5" t="str">
        <f>_xlfn.IFNA(VLOOKUP(_xlfn.CONCAT(I325,"|",J325),RiskValues!C:D,2,FALSE()),"")</f>
        <v/>
      </c>
    </row>
    <row r="326" spans="2:11" x14ac:dyDescent="0.45">
      <c r="B326" s="7" t="str">
        <f>_xlfn.IFNA(VLOOKUP(A326,InfoSecThreats!A:B,2,FALSE()),"")</f>
        <v/>
      </c>
      <c r="D326" s="7" t="str">
        <f>_xlfn.IFNA(VLOOKUP(Vulnerabilities!C326,Assets!A:C,2,FALSE()),"")</f>
        <v/>
      </c>
      <c r="E326" s="7" t="str">
        <f>_xlfn.IFNA(VLOOKUP(Vulnerabilities!C326,Assets!A:C,3,FALSE()),"")</f>
        <v/>
      </c>
      <c r="G326" s="5" t="str">
        <f t="shared" si="3"/>
        <v/>
      </c>
      <c r="K326" s="5" t="str">
        <f>_xlfn.IFNA(VLOOKUP(_xlfn.CONCAT(I326,"|",J326),RiskValues!C:D,2,FALSE()),"")</f>
        <v/>
      </c>
    </row>
    <row r="327" spans="2:11" x14ac:dyDescent="0.45">
      <c r="B327" s="7" t="str">
        <f>_xlfn.IFNA(VLOOKUP(A327,InfoSecThreats!A:B,2,FALSE()),"")</f>
        <v/>
      </c>
      <c r="D327" s="7" t="str">
        <f>_xlfn.IFNA(VLOOKUP(Vulnerabilities!C327,Assets!A:C,2,FALSE()),"")</f>
        <v/>
      </c>
      <c r="E327" s="7" t="str">
        <f>_xlfn.IFNA(VLOOKUP(Vulnerabilities!C327,Assets!A:C,3,FALSE()),"")</f>
        <v/>
      </c>
      <c r="G327" s="5" t="str">
        <f t="shared" si="3"/>
        <v/>
      </c>
      <c r="K327" s="5" t="str">
        <f>_xlfn.IFNA(VLOOKUP(_xlfn.CONCAT(I327,"|",J327),RiskValues!C:D,2,FALSE()),"")</f>
        <v/>
      </c>
    </row>
    <row r="328" spans="2:11" x14ac:dyDescent="0.45">
      <c r="B328" s="7" t="str">
        <f>_xlfn.IFNA(VLOOKUP(A328,InfoSecThreats!A:B,2,FALSE()),"")</f>
        <v/>
      </c>
      <c r="D328" s="7" t="str">
        <f>_xlfn.IFNA(VLOOKUP(Vulnerabilities!C328,Assets!A:C,2,FALSE()),"")</f>
        <v/>
      </c>
      <c r="E328" s="7" t="str">
        <f>_xlfn.IFNA(VLOOKUP(Vulnerabilities!C328,Assets!A:C,3,FALSE()),"")</f>
        <v/>
      </c>
      <c r="G328" s="5" t="str">
        <f t="shared" si="3"/>
        <v/>
      </c>
      <c r="K328" s="5" t="str">
        <f>_xlfn.IFNA(VLOOKUP(_xlfn.CONCAT(I328,"|",J328),RiskValues!C:D,2,FALSE()),"")</f>
        <v/>
      </c>
    </row>
    <row r="329" spans="2:11" x14ac:dyDescent="0.45">
      <c r="B329" s="7" t="str">
        <f>_xlfn.IFNA(VLOOKUP(A329,InfoSecThreats!A:B,2,FALSE()),"")</f>
        <v/>
      </c>
      <c r="D329" s="7" t="str">
        <f>_xlfn.IFNA(VLOOKUP(Vulnerabilities!C329,Assets!A:C,2,FALSE()),"")</f>
        <v/>
      </c>
      <c r="E329" s="7" t="str">
        <f>_xlfn.IFNA(VLOOKUP(Vulnerabilities!C329,Assets!A:C,3,FALSE()),"")</f>
        <v/>
      </c>
      <c r="G329" s="5" t="str">
        <f t="shared" si="3"/>
        <v/>
      </c>
      <c r="K329" s="5" t="str">
        <f>_xlfn.IFNA(VLOOKUP(_xlfn.CONCAT(I329,"|",J329),RiskValues!C:D,2,FALSE()),"")</f>
        <v/>
      </c>
    </row>
    <row r="330" spans="2:11" x14ac:dyDescent="0.45">
      <c r="B330" s="7" t="str">
        <f>_xlfn.IFNA(VLOOKUP(A330,InfoSecThreats!A:B,2,FALSE()),"")</f>
        <v/>
      </c>
      <c r="D330" s="7" t="str">
        <f>_xlfn.IFNA(VLOOKUP(Vulnerabilities!C330,Assets!A:C,2,FALSE()),"")</f>
        <v/>
      </c>
      <c r="E330" s="7" t="str">
        <f>_xlfn.IFNA(VLOOKUP(Vulnerabilities!C330,Assets!A:C,3,FALSE()),"")</f>
        <v/>
      </c>
      <c r="G330" s="5" t="str">
        <f t="shared" si="3"/>
        <v/>
      </c>
      <c r="K330" s="5" t="str">
        <f>_xlfn.IFNA(VLOOKUP(_xlfn.CONCAT(I330,"|",J330),RiskValues!C:D,2,FALSE()),"")</f>
        <v/>
      </c>
    </row>
    <row r="331" spans="2:11" x14ac:dyDescent="0.45">
      <c r="B331" s="7" t="str">
        <f>_xlfn.IFNA(VLOOKUP(A331,InfoSecThreats!A:B,2,FALSE()),"")</f>
        <v/>
      </c>
      <c r="D331" s="7" t="str">
        <f>_xlfn.IFNA(VLOOKUP(Vulnerabilities!C331,Assets!A:C,2,FALSE()),"")</f>
        <v/>
      </c>
      <c r="E331" s="7" t="str">
        <f>_xlfn.IFNA(VLOOKUP(Vulnerabilities!C331,Assets!A:C,3,FALSE()),"")</f>
        <v/>
      </c>
      <c r="G331" s="5" t="str">
        <f t="shared" si="3"/>
        <v/>
      </c>
      <c r="K331" s="5" t="str">
        <f>_xlfn.IFNA(VLOOKUP(_xlfn.CONCAT(I331,"|",J331),RiskValues!C:D,2,FALSE()),"")</f>
        <v/>
      </c>
    </row>
    <row r="332" spans="2:11" x14ac:dyDescent="0.45">
      <c r="B332" s="7" t="str">
        <f>_xlfn.IFNA(VLOOKUP(A332,InfoSecThreats!A:B,2,FALSE()),"")</f>
        <v/>
      </c>
      <c r="D332" s="7" t="str">
        <f>_xlfn.IFNA(VLOOKUP(Vulnerabilities!C332,Assets!A:C,2,FALSE()),"")</f>
        <v/>
      </c>
      <c r="E332" s="7" t="str">
        <f>_xlfn.IFNA(VLOOKUP(Vulnerabilities!C332,Assets!A:C,3,FALSE()),"")</f>
        <v/>
      </c>
      <c r="G332" s="5" t="str">
        <f t="shared" si="3"/>
        <v/>
      </c>
      <c r="K332" s="5" t="str">
        <f>_xlfn.IFNA(VLOOKUP(_xlfn.CONCAT(I332,"|",J332),RiskValues!C:D,2,FALSE()),"")</f>
        <v/>
      </c>
    </row>
    <row r="333" spans="2:11" x14ac:dyDescent="0.45">
      <c r="B333" s="7" t="str">
        <f>_xlfn.IFNA(VLOOKUP(A333,InfoSecThreats!A:B,2,FALSE()),"")</f>
        <v/>
      </c>
      <c r="D333" s="7" t="str">
        <f>_xlfn.IFNA(VLOOKUP(Vulnerabilities!C333,Assets!A:C,2,FALSE()),"")</f>
        <v/>
      </c>
      <c r="E333" s="7" t="str">
        <f>_xlfn.IFNA(VLOOKUP(Vulnerabilities!C333,Assets!A:C,3,FALSE()),"")</f>
        <v/>
      </c>
      <c r="G333" s="5" t="str">
        <f t="shared" si="3"/>
        <v/>
      </c>
      <c r="K333" s="5" t="str">
        <f>_xlfn.IFNA(VLOOKUP(_xlfn.CONCAT(I333,"|",J333),RiskValues!C:D,2,FALSE()),"")</f>
        <v/>
      </c>
    </row>
    <row r="334" spans="2:11" x14ac:dyDescent="0.45">
      <c r="B334" s="7" t="str">
        <f>_xlfn.IFNA(VLOOKUP(A334,InfoSecThreats!A:B,2,FALSE()),"")</f>
        <v/>
      </c>
      <c r="D334" s="7" t="str">
        <f>_xlfn.IFNA(VLOOKUP(Vulnerabilities!C334,Assets!A:C,2,FALSE()),"")</f>
        <v/>
      </c>
      <c r="E334" s="7" t="str">
        <f>_xlfn.IFNA(VLOOKUP(Vulnerabilities!C334,Assets!A:C,3,FALSE()),"")</f>
        <v/>
      </c>
      <c r="G334" s="5" t="str">
        <f t="shared" si="3"/>
        <v/>
      </c>
      <c r="K334" s="5" t="str">
        <f>_xlfn.IFNA(VLOOKUP(_xlfn.CONCAT(I334,"|",J334),RiskValues!C:D,2,FALSE()),"")</f>
        <v/>
      </c>
    </row>
    <row r="335" spans="2:11" x14ac:dyDescent="0.45">
      <c r="B335" s="7" t="str">
        <f>_xlfn.IFNA(VLOOKUP(A335,InfoSecThreats!A:B,2,FALSE()),"")</f>
        <v/>
      </c>
      <c r="D335" s="7" t="str">
        <f>_xlfn.IFNA(VLOOKUP(Vulnerabilities!C335,Assets!A:C,2,FALSE()),"")</f>
        <v/>
      </c>
      <c r="E335" s="7" t="str">
        <f>_xlfn.IFNA(VLOOKUP(Vulnerabilities!C335,Assets!A:C,3,FALSE()),"")</f>
        <v/>
      </c>
      <c r="G335" s="5" t="str">
        <f t="shared" si="3"/>
        <v/>
      </c>
      <c r="K335" s="5" t="str">
        <f>_xlfn.IFNA(VLOOKUP(_xlfn.CONCAT(I335,"|",J335),RiskValues!C:D,2,FALSE()),"")</f>
        <v/>
      </c>
    </row>
    <row r="336" spans="2:11" x14ac:dyDescent="0.45">
      <c r="B336" s="7" t="str">
        <f>_xlfn.IFNA(VLOOKUP(A336,InfoSecThreats!A:B,2,FALSE()),"")</f>
        <v/>
      </c>
      <c r="D336" s="7" t="str">
        <f>_xlfn.IFNA(VLOOKUP(Vulnerabilities!C336,Assets!A:C,2,FALSE()),"")</f>
        <v/>
      </c>
      <c r="E336" s="7" t="str">
        <f>_xlfn.IFNA(VLOOKUP(Vulnerabilities!C336,Assets!A:C,3,FALSE()),"")</f>
        <v/>
      </c>
      <c r="G336" s="5" t="str">
        <f t="shared" si="3"/>
        <v/>
      </c>
      <c r="K336" s="5" t="str">
        <f>_xlfn.IFNA(VLOOKUP(_xlfn.CONCAT(I336,"|",J336),RiskValues!C:D,2,FALSE()),"")</f>
        <v/>
      </c>
    </row>
    <row r="337" spans="2:11" x14ac:dyDescent="0.45">
      <c r="B337" s="7" t="str">
        <f>_xlfn.IFNA(VLOOKUP(A337,InfoSecThreats!A:B,2,FALSE()),"")</f>
        <v/>
      </c>
      <c r="D337" s="7" t="str">
        <f>_xlfn.IFNA(VLOOKUP(Vulnerabilities!C337,Assets!A:C,2,FALSE()),"")</f>
        <v/>
      </c>
      <c r="E337" s="7" t="str">
        <f>_xlfn.IFNA(VLOOKUP(Vulnerabilities!C337,Assets!A:C,3,FALSE()),"")</f>
        <v/>
      </c>
      <c r="G337" s="5" t="str">
        <f t="shared" si="3"/>
        <v/>
      </c>
      <c r="K337" s="5" t="str">
        <f>_xlfn.IFNA(VLOOKUP(_xlfn.CONCAT(I337,"|",J337),RiskValues!C:D,2,FALSE()),"")</f>
        <v/>
      </c>
    </row>
    <row r="338" spans="2:11" x14ac:dyDescent="0.45">
      <c r="B338" s="7" t="str">
        <f>_xlfn.IFNA(VLOOKUP(A338,InfoSecThreats!A:B,2,FALSE()),"")</f>
        <v/>
      </c>
      <c r="D338" s="7" t="str">
        <f>_xlfn.IFNA(VLOOKUP(Vulnerabilities!C338,Assets!A:C,2,FALSE()),"")</f>
        <v/>
      </c>
      <c r="E338" s="7" t="str">
        <f>_xlfn.IFNA(VLOOKUP(Vulnerabilities!C338,Assets!A:C,3,FALSE()),"")</f>
        <v/>
      </c>
      <c r="G338" s="5" t="str">
        <f t="shared" si="3"/>
        <v/>
      </c>
      <c r="K338" s="5" t="str">
        <f>_xlfn.IFNA(VLOOKUP(_xlfn.CONCAT(I338,"|",J338),RiskValues!C:D,2,FALSE()),"")</f>
        <v/>
      </c>
    </row>
    <row r="339" spans="2:11" x14ac:dyDescent="0.45">
      <c r="B339" s="7" t="str">
        <f>_xlfn.IFNA(VLOOKUP(A339,InfoSecThreats!A:B,2,FALSE()),"")</f>
        <v/>
      </c>
      <c r="D339" s="7" t="str">
        <f>_xlfn.IFNA(VLOOKUP(Vulnerabilities!C339,Assets!A:C,2,FALSE()),"")</f>
        <v/>
      </c>
      <c r="E339" s="7" t="str">
        <f>_xlfn.IFNA(VLOOKUP(Vulnerabilities!C339,Assets!A:C,3,FALSE()),"")</f>
        <v/>
      </c>
      <c r="G339" s="5" t="str">
        <f t="shared" si="3"/>
        <v/>
      </c>
      <c r="K339" s="5" t="str">
        <f>_xlfn.IFNA(VLOOKUP(_xlfn.CONCAT(I339,"|",J339),RiskValues!C:D,2,FALSE()),"")</f>
        <v/>
      </c>
    </row>
    <row r="340" spans="2:11" x14ac:dyDescent="0.45">
      <c r="B340" s="7" t="str">
        <f>_xlfn.IFNA(VLOOKUP(A340,InfoSecThreats!A:B,2,FALSE()),"")</f>
        <v/>
      </c>
      <c r="D340" s="7" t="str">
        <f>_xlfn.IFNA(VLOOKUP(Vulnerabilities!C340,Assets!A:C,2,FALSE()),"")</f>
        <v/>
      </c>
      <c r="E340" s="7" t="str">
        <f>_xlfn.IFNA(VLOOKUP(Vulnerabilities!C340,Assets!A:C,3,FALSE()),"")</f>
        <v/>
      </c>
      <c r="G340" s="5" t="str">
        <f t="shared" si="3"/>
        <v/>
      </c>
      <c r="K340" s="5" t="str">
        <f>_xlfn.IFNA(VLOOKUP(_xlfn.CONCAT(I340,"|",J340),RiskValues!C:D,2,FALSE()),"")</f>
        <v/>
      </c>
    </row>
    <row r="341" spans="2:11" x14ac:dyDescent="0.45">
      <c r="B341" s="7" t="str">
        <f>_xlfn.IFNA(VLOOKUP(A341,InfoSecThreats!A:B,2,FALSE()),"")</f>
        <v/>
      </c>
      <c r="D341" s="7" t="str">
        <f>_xlfn.IFNA(VLOOKUP(Vulnerabilities!C341,Assets!A:C,2,FALSE()),"")</f>
        <v/>
      </c>
      <c r="E341" s="7" t="str">
        <f>_xlfn.IFNA(VLOOKUP(Vulnerabilities!C341,Assets!A:C,3,FALSE()),"")</f>
        <v/>
      </c>
      <c r="G341" s="5" t="str">
        <f t="shared" si="3"/>
        <v/>
      </c>
      <c r="K341" s="5" t="str">
        <f>_xlfn.IFNA(VLOOKUP(_xlfn.CONCAT(I341,"|",J341),RiskValues!C:D,2,FALSE()),"")</f>
        <v/>
      </c>
    </row>
    <row r="342" spans="2:11" x14ac:dyDescent="0.45">
      <c r="B342" s="7" t="str">
        <f>_xlfn.IFNA(VLOOKUP(A342,InfoSecThreats!A:B,2,FALSE()),"")</f>
        <v/>
      </c>
      <c r="D342" s="7" t="str">
        <f>_xlfn.IFNA(VLOOKUP(Vulnerabilities!C342,Assets!A:C,2,FALSE()),"")</f>
        <v/>
      </c>
      <c r="E342" s="7" t="str">
        <f>_xlfn.IFNA(VLOOKUP(Vulnerabilities!C342,Assets!A:C,3,FALSE()),"")</f>
        <v/>
      </c>
      <c r="G342" s="5" t="str">
        <f t="shared" si="3"/>
        <v/>
      </c>
      <c r="K342" s="5" t="str">
        <f>_xlfn.IFNA(VLOOKUP(_xlfn.CONCAT(I342,"|",J342),RiskValues!C:D,2,FALSE()),"")</f>
        <v/>
      </c>
    </row>
    <row r="343" spans="2:11" x14ac:dyDescent="0.45">
      <c r="B343" s="7" t="str">
        <f>_xlfn.IFNA(VLOOKUP(A343,InfoSecThreats!A:B,2,FALSE()),"")</f>
        <v/>
      </c>
      <c r="D343" s="7" t="str">
        <f>_xlfn.IFNA(VLOOKUP(Vulnerabilities!C343,Assets!A:C,2,FALSE()),"")</f>
        <v/>
      </c>
      <c r="E343" s="7" t="str">
        <f>_xlfn.IFNA(VLOOKUP(Vulnerabilities!C343,Assets!A:C,3,FALSE()),"")</f>
        <v/>
      </c>
      <c r="G343" s="5" t="str">
        <f t="shared" si="3"/>
        <v/>
      </c>
      <c r="K343" s="5" t="str">
        <f>_xlfn.IFNA(VLOOKUP(_xlfn.CONCAT(I343,"|",J343),RiskValues!C:D,2,FALSE()),"")</f>
        <v/>
      </c>
    </row>
    <row r="344" spans="2:11" x14ac:dyDescent="0.45">
      <c r="B344" s="7" t="str">
        <f>_xlfn.IFNA(VLOOKUP(A344,InfoSecThreats!A:B,2,FALSE()),"")</f>
        <v/>
      </c>
      <c r="D344" s="7" t="str">
        <f>_xlfn.IFNA(VLOOKUP(Vulnerabilities!C344,Assets!A:C,2,FALSE()),"")</f>
        <v/>
      </c>
      <c r="E344" s="7" t="str">
        <f>_xlfn.IFNA(VLOOKUP(Vulnerabilities!C344,Assets!A:C,3,FALSE()),"")</f>
        <v/>
      </c>
      <c r="G344" s="5" t="str">
        <f t="shared" si="3"/>
        <v/>
      </c>
      <c r="K344" s="5" t="str">
        <f>_xlfn.IFNA(VLOOKUP(_xlfn.CONCAT(I344,"|",J344),RiskValues!C:D,2,FALSE()),"")</f>
        <v/>
      </c>
    </row>
    <row r="345" spans="2:11" x14ac:dyDescent="0.45">
      <c r="B345" s="7" t="str">
        <f>_xlfn.IFNA(VLOOKUP(A345,InfoSecThreats!A:B,2,FALSE()),"")</f>
        <v/>
      </c>
      <c r="D345" s="7" t="str">
        <f>_xlfn.IFNA(VLOOKUP(Vulnerabilities!C345,Assets!A:C,2,FALSE()),"")</f>
        <v/>
      </c>
      <c r="E345" s="7" t="str">
        <f>_xlfn.IFNA(VLOOKUP(Vulnerabilities!C345,Assets!A:C,3,FALSE()),"")</f>
        <v/>
      </c>
      <c r="G345" s="5" t="str">
        <f t="shared" si="3"/>
        <v/>
      </c>
      <c r="K345" s="5" t="str">
        <f>_xlfn.IFNA(VLOOKUP(_xlfn.CONCAT(I345,"|",J345),RiskValues!C:D,2,FALSE()),"")</f>
        <v/>
      </c>
    </row>
    <row r="346" spans="2:11" x14ac:dyDescent="0.45">
      <c r="B346" s="7" t="str">
        <f>_xlfn.IFNA(VLOOKUP(A346,InfoSecThreats!A:B,2,FALSE()),"")</f>
        <v/>
      </c>
      <c r="D346" s="7" t="str">
        <f>_xlfn.IFNA(VLOOKUP(Vulnerabilities!C346,Assets!A:C,2,FALSE()),"")</f>
        <v/>
      </c>
      <c r="E346" s="7" t="str">
        <f>_xlfn.IFNA(VLOOKUP(Vulnerabilities!C346,Assets!A:C,3,FALSE()),"")</f>
        <v/>
      </c>
      <c r="G346" s="5" t="str">
        <f t="shared" si="3"/>
        <v/>
      </c>
      <c r="K346" s="5" t="str">
        <f>_xlfn.IFNA(VLOOKUP(_xlfn.CONCAT(I346,"|",J346),RiskValues!C:D,2,FALSE()),"")</f>
        <v/>
      </c>
    </row>
    <row r="347" spans="2:11" x14ac:dyDescent="0.45">
      <c r="B347" s="7" t="str">
        <f>_xlfn.IFNA(VLOOKUP(A347,InfoSecThreats!A:B,2,FALSE()),"")</f>
        <v/>
      </c>
      <c r="D347" s="7" t="str">
        <f>_xlfn.IFNA(VLOOKUP(Vulnerabilities!C347,Assets!A:C,2,FALSE()),"")</f>
        <v/>
      </c>
      <c r="E347" s="7" t="str">
        <f>_xlfn.IFNA(VLOOKUP(Vulnerabilities!C347,Assets!A:C,3,FALSE()),"")</f>
        <v/>
      </c>
      <c r="G347" s="5" t="str">
        <f t="shared" si="3"/>
        <v/>
      </c>
      <c r="K347" s="5" t="str">
        <f>_xlfn.IFNA(VLOOKUP(_xlfn.CONCAT(I347,"|",J347),RiskValues!C:D,2,FALSE()),"")</f>
        <v/>
      </c>
    </row>
    <row r="348" spans="2:11" x14ac:dyDescent="0.45">
      <c r="B348" s="7" t="str">
        <f>_xlfn.IFNA(VLOOKUP(A348,InfoSecThreats!A:B,2,FALSE()),"")</f>
        <v/>
      </c>
      <c r="D348" s="7" t="str">
        <f>_xlfn.IFNA(VLOOKUP(Vulnerabilities!C348,Assets!A:C,2,FALSE()),"")</f>
        <v/>
      </c>
      <c r="E348" s="7" t="str">
        <f>_xlfn.IFNA(VLOOKUP(Vulnerabilities!C348,Assets!A:C,3,FALSE()),"")</f>
        <v/>
      </c>
      <c r="G348" s="5" t="str">
        <f t="shared" si="3"/>
        <v/>
      </c>
      <c r="K348" s="5" t="str">
        <f>_xlfn.IFNA(VLOOKUP(_xlfn.CONCAT(I348,"|",J348),RiskValues!C:D,2,FALSE()),"")</f>
        <v/>
      </c>
    </row>
    <row r="349" spans="2:11" x14ac:dyDescent="0.45">
      <c r="B349" s="7" t="str">
        <f>_xlfn.IFNA(VLOOKUP(A349,InfoSecThreats!A:B,2,FALSE()),"")</f>
        <v/>
      </c>
      <c r="D349" s="7" t="str">
        <f>_xlfn.IFNA(VLOOKUP(Vulnerabilities!C349,Assets!A:C,2,FALSE()),"")</f>
        <v/>
      </c>
      <c r="E349" s="7" t="str">
        <f>_xlfn.IFNA(VLOOKUP(Vulnerabilities!C349,Assets!A:C,3,FALSE()),"")</f>
        <v/>
      </c>
      <c r="G349" s="5" t="str">
        <f t="shared" si="3"/>
        <v/>
      </c>
      <c r="K349" s="5" t="str">
        <f>_xlfn.IFNA(VLOOKUP(_xlfn.CONCAT(I349,"|",J349),RiskValues!C:D,2,FALSE()),"")</f>
        <v/>
      </c>
    </row>
    <row r="350" spans="2:11" x14ac:dyDescent="0.45">
      <c r="B350" s="7" t="str">
        <f>_xlfn.IFNA(VLOOKUP(A350,InfoSecThreats!A:B,2,FALSE()),"")</f>
        <v/>
      </c>
      <c r="D350" s="7" t="str">
        <f>_xlfn.IFNA(VLOOKUP(Vulnerabilities!C350,Assets!A:C,2,FALSE()),"")</f>
        <v/>
      </c>
      <c r="E350" s="7" t="str">
        <f>_xlfn.IFNA(VLOOKUP(Vulnerabilities!C350,Assets!A:C,3,FALSE()),"")</f>
        <v/>
      </c>
      <c r="G350" s="5" t="str">
        <f t="shared" si="3"/>
        <v/>
      </c>
      <c r="K350" s="5" t="str">
        <f>_xlfn.IFNA(VLOOKUP(_xlfn.CONCAT(I350,"|",J350),RiskValues!C:D,2,FALSE()),"")</f>
        <v/>
      </c>
    </row>
    <row r="351" spans="2:11" x14ac:dyDescent="0.45">
      <c r="B351" s="7" t="str">
        <f>_xlfn.IFNA(VLOOKUP(A351,InfoSecThreats!A:B,2,FALSE()),"")</f>
        <v/>
      </c>
      <c r="D351" s="7" t="str">
        <f>_xlfn.IFNA(VLOOKUP(Vulnerabilities!C351,Assets!A:C,2,FALSE()),"")</f>
        <v/>
      </c>
      <c r="E351" s="7" t="str">
        <f>_xlfn.IFNA(VLOOKUP(Vulnerabilities!C351,Assets!A:C,3,FALSE()),"")</f>
        <v/>
      </c>
      <c r="G351" s="5" t="str">
        <f t="shared" si="3"/>
        <v/>
      </c>
      <c r="K351" s="5" t="str">
        <f>_xlfn.IFNA(VLOOKUP(_xlfn.CONCAT(I351,"|",J351),RiskValues!C:D,2,FALSE()),"")</f>
        <v/>
      </c>
    </row>
    <row r="352" spans="2:11" x14ac:dyDescent="0.45">
      <c r="B352" s="7" t="str">
        <f>_xlfn.IFNA(VLOOKUP(A352,InfoSecThreats!A:B,2,FALSE()),"")</f>
        <v/>
      </c>
      <c r="D352" s="7" t="str">
        <f>_xlfn.IFNA(VLOOKUP(Vulnerabilities!C352,Assets!A:C,2,FALSE()),"")</f>
        <v/>
      </c>
      <c r="E352" s="7" t="str">
        <f>_xlfn.IFNA(VLOOKUP(Vulnerabilities!C352,Assets!A:C,3,FALSE()),"")</f>
        <v/>
      </c>
      <c r="G352" s="5" t="str">
        <f t="shared" si="3"/>
        <v/>
      </c>
      <c r="K352" s="5" t="str">
        <f>_xlfn.IFNA(VLOOKUP(_xlfn.CONCAT(I352,"|",J352),RiskValues!C:D,2,FALSE()),"")</f>
        <v/>
      </c>
    </row>
    <row r="353" spans="2:11" x14ac:dyDescent="0.45">
      <c r="B353" s="7" t="str">
        <f>_xlfn.IFNA(VLOOKUP(A353,InfoSecThreats!A:B,2,FALSE()),"")</f>
        <v/>
      </c>
      <c r="D353" s="7" t="str">
        <f>_xlfn.IFNA(VLOOKUP(Vulnerabilities!C353,Assets!A:C,2,FALSE()),"")</f>
        <v/>
      </c>
      <c r="E353" s="7" t="str">
        <f>_xlfn.IFNA(VLOOKUP(Vulnerabilities!C353,Assets!A:C,3,FALSE()),"")</f>
        <v/>
      </c>
      <c r="G353" s="5" t="str">
        <f t="shared" si="3"/>
        <v/>
      </c>
      <c r="K353" s="5" t="str">
        <f>_xlfn.IFNA(VLOOKUP(_xlfn.CONCAT(I353,"|",J353),RiskValues!C:D,2,FALSE()),"")</f>
        <v/>
      </c>
    </row>
    <row r="354" spans="2:11" x14ac:dyDescent="0.45">
      <c r="B354" s="7" t="str">
        <f>_xlfn.IFNA(VLOOKUP(A354,InfoSecThreats!A:B,2,FALSE()),"")</f>
        <v/>
      </c>
      <c r="D354" s="7" t="str">
        <f>_xlfn.IFNA(VLOOKUP(Vulnerabilities!C354,Assets!A:C,2,FALSE()),"")</f>
        <v/>
      </c>
      <c r="E354" s="7" t="str">
        <f>_xlfn.IFNA(VLOOKUP(Vulnerabilities!C354,Assets!A:C,3,FALSE()),"")</f>
        <v/>
      </c>
      <c r="G354" s="5" t="str">
        <f t="shared" si="3"/>
        <v/>
      </c>
      <c r="K354" s="5" t="str">
        <f>_xlfn.IFNA(VLOOKUP(_xlfn.CONCAT(I354,"|",J354),RiskValues!C:D,2,FALSE()),"")</f>
        <v/>
      </c>
    </row>
    <row r="355" spans="2:11" x14ac:dyDescent="0.45">
      <c r="B355" s="7" t="str">
        <f>_xlfn.IFNA(VLOOKUP(A355,InfoSecThreats!A:B,2,FALSE()),"")</f>
        <v/>
      </c>
      <c r="D355" s="7" t="str">
        <f>_xlfn.IFNA(VLOOKUP(Vulnerabilities!C355,Assets!A:C,2,FALSE()),"")</f>
        <v/>
      </c>
      <c r="E355" s="7" t="str">
        <f>_xlfn.IFNA(VLOOKUP(Vulnerabilities!C355,Assets!A:C,3,FALSE()),"")</f>
        <v/>
      </c>
      <c r="G355" s="5" t="str">
        <f t="shared" si="3"/>
        <v/>
      </c>
      <c r="K355" s="5" t="str">
        <f>_xlfn.IFNA(VLOOKUP(_xlfn.CONCAT(I355,"|",J355),RiskValues!C:D,2,FALSE()),"")</f>
        <v/>
      </c>
    </row>
    <row r="356" spans="2:11" x14ac:dyDescent="0.45">
      <c r="B356" s="7" t="str">
        <f>_xlfn.IFNA(VLOOKUP(A356,InfoSecThreats!A:B,2,FALSE()),"")</f>
        <v/>
      </c>
      <c r="D356" s="7" t="str">
        <f>_xlfn.IFNA(VLOOKUP(Vulnerabilities!C356,Assets!A:C,2,FALSE()),"")</f>
        <v/>
      </c>
      <c r="E356" s="7" t="str">
        <f>_xlfn.IFNA(VLOOKUP(Vulnerabilities!C356,Assets!A:C,3,FALSE()),"")</f>
        <v/>
      </c>
      <c r="G356" s="5" t="str">
        <f t="shared" si="3"/>
        <v/>
      </c>
      <c r="K356" s="5" t="str">
        <f>_xlfn.IFNA(VLOOKUP(_xlfn.CONCAT(I356,"|",J356),RiskValues!C:D,2,FALSE()),"")</f>
        <v/>
      </c>
    </row>
    <row r="357" spans="2:11" x14ac:dyDescent="0.45">
      <c r="B357" s="7" t="str">
        <f>_xlfn.IFNA(VLOOKUP(A357,InfoSecThreats!A:B,2,FALSE()),"")</f>
        <v/>
      </c>
      <c r="D357" s="7" t="str">
        <f>_xlfn.IFNA(VLOOKUP(Vulnerabilities!C357,Assets!A:C,2,FALSE()),"")</f>
        <v/>
      </c>
      <c r="E357" s="7" t="str">
        <f>_xlfn.IFNA(VLOOKUP(Vulnerabilities!C357,Assets!A:C,3,FALSE()),"")</f>
        <v/>
      </c>
      <c r="G357" s="5" t="str">
        <f t="shared" ref="G357:G401" si="4">IF(ISBLANK(F357),"",_xlfn.CONCAT("T",A357,"V",F357,"A",C357))</f>
        <v/>
      </c>
      <c r="K357" s="5" t="str">
        <f>_xlfn.IFNA(VLOOKUP(_xlfn.CONCAT(I357,"|",J357),RiskValues!C:D,2,FALSE()),"")</f>
        <v/>
      </c>
    </row>
    <row r="358" spans="2:11" x14ac:dyDescent="0.45">
      <c r="B358" s="7" t="str">
        <f>_xlfn.IFNA(VLOOKUP(A358,InfoSecThreats!A:B,2,FALSE()),"")</f>
        <v/>
      </c>
      <c r="D358" s="7" t="str">
        <f>_xlfn.IFNA(VLOOKUP(Vulnerabilities!C358,Assets!A:C,2,FALSE()),"")</f>
        <v/>
      </c>
      <c r="E358" s="7" t="str">
        <f>_xlfn.IFNA(VLOOKUP(Vulnerabilities!C358,Assets!A:C,3,FALSE()),"")</f>
        <v/>
      </c>
      <c r="G358" s="5" t="str">
        <f t="shared" si="4"/>
        <v/>
      </c>
      <c r="K358" s="5" t="str">
        <f>_xlfn.IFNA(VLOOKUP(_xlfn.CONCAT(I358,"|",J358),RiskValues!C:D,2,FALSE()),"")</f>
        <v/>
      </c>
    </row>
    <row r="359" spans="2:11" x14ac:dyDescent="0.45">
      <c r="B359" s="7" t="str">
        <f>_xlfn.IFNA(VLOOKUP(A359,InfoSecThreats!A:B,2,FALSE()),"")</f>
        <v/>
      </c>
      <c r="D359" s="7" t="str">
        <f>_xlfn.IFNA(VLOOKUP(Vulnerabilities!C359,Assets!A:C,2,FALSE()),"")</f>
        <v/>
      </c>
      <c r="E359" s="7" t="str">
        <f>_xlfn.IFNA(VLOOKUP(Vulnerabilities!C359,Assets!A:C,3,FALSE()),"")</f>
        <v/>
      </c>
      <c r="G359" s="5" t="str">
        <f t="shared" si="4"/>
        <v/>
      </c>
      <c r="K359" s="5" t="str">
        <f>_xlfn.IFNA(VLOOKUP(_xlfn.CONCAT(I359,"|",J359),RiskValues!C:D,2,FALSE()),"")</f>
        <v/>
      </c>
    </row>
    <row r="360" spans="2:11" x14ac:dyDescent="0.45">
      <c r="B360" s="7" t="str">
        <f>_xlfn.IFNA(VLOOKUP(A360,InfoSecThreats!A:B,2,FALSE()),"")</f>
        <v/>
      </c>
      <c r="D360" s="7" t="str">
        <f>_xlfn.IFNA(VLOOKUP(Vulnerabilities!C360,Assets!A:C,2,FALSE()),"")</f>
        <v/>
      </c>
      <c r="E360" s="7" t="str">
        <f>_xlfn.IFNA(VLOOKUP(Vulnerabilities!C360,Assets!A:C,3,FALSE()),"")</f>
        <v/>
      </c>
      <c r="G360" s="5" t="str">
        <f t="shared" si="4"/>
        <v/>
      </c>
      <c r="K360" s="5" t="str">
        <f>_xlfn.IFNA(VLOOKUP(_xlfn.CONCAT(I360,"|",J360),RiskValues!C:D,2,FALSE()),"")</f>
        <v/>
      </c>
    </row>
    <row r="361" spans="2:11" x14ac:dyDescent="0.45">
      <c r="B361" s="7" t="str">
        <f>_xlfn.IFNA(VLOOKUP(A361,InfoSecThreats!A:B,2,FALSE()),"")</f>
        <v/>
      </c>
      <c r="D361" s="7" t="str">
        <f>_xlfn.IFNA(VLOOKUP(Vulnerabilities!C361,Assets!A:C,2,FALSE()),"")</f>
        <v/>
      </c>
      <c r="E361" s="7" t="str">
        <f>_xlfn.IFNA(VLOOKUP(Vulnerabilities!C361,Assets!A:C,3,FALSE()),"")</f>
        <v/>
      </c>
      <c r="G361" s="5" t="str">
        <f t="shared" si="4"/>
        <v/>
      </c>
      <c r="K361" s="5" t="str">
        <f>_xlfn.IFNA(VLOOKUP(_xlfn.CONCAT(I361,"|",J361),RiskValues!C:D,2,FALSE()),"")</f>
        <v/>
      </c>
    </row>
    <row r="362" spans="2:11" x14ac:dyDescent="0.45">
      <c r="B362" s="7" t="str">
        <f>_xlfn.IFNA(VLOOKUP(A362,InfoSecThreats!A:B,2,FALSE()),"")</f>
        <v/>
      </c>
      <c r="D362" s="7" t="str">
        <f>_xlfn.IFNA(VLOOKUP(Vulnerabilities!C362,Assets!A:C,2,FALSE()),"")</f>
        <v/>
      </c>
      <c r="E362" s="7" t="str">
        <f>_xlfn.IFNA(VLOOKUP(Vulnerabilities!C362,Assets!A:C,3,FALSE()),"")</f>
        <v/>
      </c>
      <c r="G362" s="5" t="str">
        <f t="shared" si="4"/>
        <v/>
      </c>
      <c r="K362" s="5" t="str">
        <f>_xlfn.IFNA(VLOOKUP(_xlfn.CONCAT(I362,"|",J362),RiskValues!C:D,2,FALSE()),"")</f>
        <v/>
      </c>
    </row>
    <row r="363" spans="2:11" x14ac:dyDescent="0.45">
      <c r="B363" s="7" t="str">
        <f>_xlfn.IFNA(VLOOKUP(A363,InfoSecThreats!A:B,2,FALSE()),"")</f>
        <v/>
      </c>
      <c r="D363" s="7" t="str">
        <f>_xlfn.IFNA(VLOOKUP(Vulnerabilities!C363,Assets!A:C,2,FALSE()),"")</f>
        <v/>
      </c>
      <c r="E363" s="7" t="str">
        <f>_xlfn.IFNA(VLOOKUP(Vulnerabilities!C363,Assets!A:C,3,FALSE()),"")</f>
        <v/>
      </c>
      <c r="G363" s="5" t="str">
        <f t="shared" si="4"/>
        <v/>
      </c>
      <c r="K363" s="5" t="str">
        <f>_xlfn.IFNA(VLOOKUP(_xlfn.CONCAT(I363,"|",J363),RiskValues!C:D,2,FALSE()),"")</f>
        <v/>
      </c>
    </row>
    <row r="364" spans="2:11" x14ac:dyDescent="0.45">
      <c r="B364" s="7" t="str">
        <f>_xlfn.IFNA(VLOOKUP(A364,InfoSecThreats!A:B,2,FALSE()),"")</f>
        <v/>
      </c>
      <c r="D364" s="7" t="str">
        <f>_xlfn.IFNA(VLOOKUP(Vulnerabilities!C364,Assets!A:C,2,FALSE()),"")</f>
        <v/>
      </c>
      <c r="E364" s="7" t="str">
        <f>_xlfn.IFNA(VLOOKUP(Vulnerabilities!C364,Assets!A:C,3,FALSE()),"")</f>
        <v/>
      </c>
      <c r="G364" s="5" t="str">
        <f t="shared" si="4"/>
        <v/>
      </c>
      <c r="K364" s="5" t="str">
        <f>_xlfn.IFNA(VLOOKUP(_xlfn.CONCAT(I364,"|",J364),RiskValues!C:D,2,FALSE()),"")</f>
        <v/>
      </c>
    </row>
    <row r="365" spans="2:11" x14ac:dyDescent="0.45">
      <c r="B365" s="7" t="str">
        <f>_xlfn.IFNA(VLOOKUP(A365,InfoSecThreats!A:B,2,FALSE()),"")</f>
        <v/>
      </c>
      <c r="D365" s="7" t="str">
        <f>_xlfn.IFNA(VLOOKUP(Vulnerabilities!C365,Assets!A:C,2,FALSE()),"")</f>
        <v/>
      </c>
      <c r="E365" s="7" t="str">
        <f>_xlfn.IFNA(VLOOKUP(Vulnerabilities!C365,Assets!A:C,3,FALSE()),"")</f>
        <v/>
      </c>
      <c r="G365" s="5" t="str">
        <f t="shared" si="4"/>
        <v/>
      </c>
      <c r="K365" s="5" t="str">
        <f>_xlfn.IFNA(VLOOKUP(_xlfn.CONCAT(I365,"|",J365),RiskValues!C:D,2,FALSE()),"")</f>
        <v/>
      </c>
    </row>
    <row r="366" spans="2:11" x14ac:dyDescent="0.45">
      <c r="B366" s="7" t="str">
        <f>_xlfn.IFNA(VLOOKUP(A366,InfoSecThreats!A:B,2,FALSE()),"")</f>
        <v/>
      </c>
      <c r="D366" s="7" t="str">
        <f>_xlfn.IFNA(VLOOKUP(Vulnerabilities!C366,Assets!A:C,2,FALSE()),"")</f>
        <v/>
      </c>
      <c r="E366" s="7" t="str">
        <f>_xlfn.IFNA(VLOOKUP(Vulnerabilities!C366,Assets!A:C,3,FALSE()),"")</f>
        <v/>
      </c>
      <c r="G366" s="5" t="str">
        <f t="shared" si="4"/>
        <v/>
      </c>
      <c r="K366" s="5" t="str">
        <f>_xlfn.IFNA(VLOOKUP(_xlfn.CONCAT(I366,"|",J366),RiskValues!C:D,2,FALSE()),"")</f>
        <v/>
      </c>
    </row>
    <row r="367" spans="2:11" x14ac:dyDescent="0.45">
      <c r="B367" s="7" t="str">
        <f>_xlfn.IFNA(VLOOKUP(A367,InfoSecThreats!A:B,2,FALSE()),"")</f>
        <v/>
      </c>
      <c r="D367" s="7" t="str">
        <f>_xlfn.IFNA(VLOOKUP(Vulnerabilities!C367,Assets!A:C,2,FALSE()),"")</f>
        <v/>
      </c>
      <c r="E367" s="7" t="str">
        <f>_xlfn.IFNA(VLOOKUP(Vulnerabilities!C367,Assets!A:C,3,FALSE()),"")</f>
        <v/>
      </c>
      <c r="G367" s="5" t="str">
        <f t="shared" si="4"/>
        <v/>
      </c>
      <c r="K367" s="5" t="str">
        <f>_xlfn.IFNA(VLOOKUP(_xlfn.CONCAT(I367,"|",J367),RiskValues!C:D,2,FALSE()),"")</f>
        <v/>
      </c>
    </row>
    <row r="368" spans="2:11" x14ac:dyDescent="0.45">
      <c r="B368" s="7" t="str">
        <f>_xlfn.IFNA(VLOOKUP(A368,InfoSecThreats!A:B,2,FALSE()),"")</f>
        <v/>
      </c>
      <c r="D368" s="7" t="str">
        <f>_xlfn.IFNA(VLOOKUP(Vulnerabilities!C368,Assets!A:C,2,FALSE()),"")</f>
        <v/>
      </c>
      <c r="E368" s="7" t="str">
        <f>_xlfn.IFNA(VLOOKUP(Vulnerabilities!C368,Assets!A:C,3,FALSE()),"")</f>
        <v/>
      </c>
      <c r="G368" s="5" t="str">
        <f t="shared" si="4"/>
        <v/>
      </c>
      <c r="K368" s="5" t="str">
        <f>_xlfn.IFNA(VLOOKUP(_xlfn.CONCAT(I368,"|",J368),RiskValues!C:D,2,FALSE()),"")</f>
        <v/>
      </c>
    </row>
    <row r="369" spans="2:11" x14ac:dyDescent="0.45">
      <c r="B369" s="7" t="str">
        <f>_xlfn.IFNA(VLOOKUP(A369,InfoSecThreats!A:B,2,FALSE()),"")</f>
        <v/>
      </c>
      <c r="D369" s="7" t="str">
        <f>_xlfn.IFNA(VLOOKUP(Vulnerabilities!C369,Assets!A:C,2,FALSE()),"")</f>
        <v/>
      </c>
      <c r="E369" s="7" t="str">
        <f>_xlfn.IFNA(VLOOKUP(Vulnerabilities!C369,Assets!A:C,3,FALSE()),"")</f>
        <v/>
      </c>
      <c r="G369" s="5" t="str">
        <f t="shared" si="4"/>
        <v/>
      </c>
      <c r="K369" s="5" t="str">
        <f>_xlfn.IFNA(VLOOKUP(_xlfn.CONCAT(I369,"|",J369),RiskValues!C:D,2,FALSE()),"")</f>
        <v/>
      </c>
    </row>
    <row r="370" spans="2:11" x14ac:dyDescent="0.45">
      <c r="B370" s="7" t="str">
        <f>_xlfn.IFNA(VLOOKUP(A370,InfoSecThreats!A:B,2,FALSE()),"")</f>
        <v/>
      </c>
      <c r="D370" s="7" t="str">
        <f>_xlfn.IFNA(VLOOKUP(Vulnerabilities!C370,Assets!A:C,2,FALSE()),"")</f>
        <v/>
      </c>
      <c r="E370" s="7" t="str">
        <f>_xlfn.IFNA(VLOOKUP(Vulnerabilities!C370,Assets!A:C,3,FALSE()),"")</f>
        <v/>
      </c>
      <c r="G370" s="5" t="str">
        <f t="shared" si="4"/>
        <v/>
      </c>
      <c r="K370" s="5" t="str">
        <f>_xlfn.IFNA(VLOOKUP(_xlfn.CONCAT(I370,"|",J370),RiskValues!C:D,2,FALSE()),"")</f>
        <v/>
      </c>
    </row>
    <row r="371" spans="2:11" x14ac:dyDescent="0.45">
      <c r="B371" s="7" t="str">
        <f>_xlfn.IFNA(VLOOKUP(A371,InfoSecThreats!A:B,2,FALSE()),"")</f>
        <v/>
      </c>
      <c r="D371" s="7" t="str">
        <f>_xlfn.IFNA(VLOOKUP(Vulnerabilities!C371,Assets!A:C,2,FALSE()),"")</f>
        <v/>
      </c>
      <c r="E371" s="7" t="str">
        <f>_xlfn.IFNA(VLOOKUP(Vulnerabilities!C371,Assets!A:C,3,FALSE()),"")</f>
        <v/>
      </c>
      <c r="G371" s="5" t="str">
        <f t="shared" si="4"/>
        <v/>
      </c>
      <c r="K371" s="5" t="str">
        <f>_xlfn.IFNA(VLOOKUP(_xlfn.CONCAT(I371,"|",J371),RiskValues!C:D,2,FALSE()),"")</f>
        <v/>
      </c>
    </row>
    <row r="372" spans="2:11" x14ac:dyDescent="0.45">
      <c r="B372" s="7" t="str">
        <f>_xlfn.IFNA(VLOOKUP(A372,InfoSecThreats!A:B,2,FALSE()),"")</f>
        <v/>
      </c>
      <c r="D372" s="7" t="str">
        <f>_xlfn.IFNA(VLOOKUP(Vulnerabilities!C372,Assets!A:C,2,FALSE()),"")</f>
        <v/>
      </c>
      <c r="E372" s="7" t="str">
        <f>_xlfn.IFNA(VLOOKUP(Vulnerabilities!C372,Assets!A:C,3,FALSE()),"")</f>
        <v/>
      </c>
      <c r="G372" s="5" t="str">
        <f t="shared" si="4"/>
        <v/>
      </c>
      <c r="K372" s="5" t="str">
        <f>_xlfn.IFNA(VLOOKUP(_xlfn.CONCAT(I372,"|",J372),RiskValues!C:D,2,FALSE()),"")</f>
        <v/>
      </c>
    </row>
    <row r="373" spans="2:11" x14ac:dyDescent="0.45">
      <c r="B373" s="7" t="str">
        <f>_xlfn.IFNA(VLOOKUP(A373,InfoSecThreats!A:B,2,FALSE()),"")</f>
        <v/>
      </c>
      <c r="D373" s="7" t="str">
        <f>_xlfn.IFNA(VLOOKUP(Vulnerabilities!C373,Assets!A:C,2,FALSE()),"")</f>
        <v/>
      </c>
      <c r="E373" s="7" t="str">
        <f>_xlfn.IFNA(VLOOKUP(Vulnerabilities!C373,Assets!A:C,3,FALSE()),"")</f>
        <v/>
      </c>
      <c r="G373" s="5" t="str">
        <f t="shared" si="4"/>
        <v/>
      </c>
      <c r="K373" s="5" t="str">
        <f>_xlfn.IFNA(VLOOKUP(_xlfn.CONCAT(I373,"|",J373),RiskValues!C:D,2,FALSE()),"")</f>
        <v/>
      </c>
    </row>
    <row r="374" spans="2:11" x14ac:dyDescent="0.45">
      <c r="B374" s="7" t="str">
        <f>_xlfn.IFNA(VLOOKUP(A374,InfoSecThreats!A:B,2,FALSE()),"")</f>
        <v/>
      </c>
      <c r="D374" s="7" t="str">
        <f>_xlfn.IFNA(VLOOKUP(Vulnerabilities!C374,Assets!A:C,2,FALSE()),"")</f>
        <v/>
      </c>
      <c r="E374" s="7" t="str">
        <f>_xlfn.IFNA(VLOOKUP(Vulnerabilities!C374,Assets!A:C,3,FALSE()),"")</f>
        <v/>
      </c>
      <c r="G374" s="5" t="str">
        <f t="shared" si="4"/>
        <v/>
      </c>
      <c r="K374" s="5" t="str">
        <f>_xlfn.IFNA(VLOOKUP(_xlfn.CONCAT(I374,"|",J374),RiskValues!C:D,2,FALSE()),"")</f>
        <v/>
      </c>
    </row>
    <row r="375" spans="2:11" x14ac:dyDescent="0.45">
      <c r="B375" s="7" t="str">
        <f>_xlfn.IFNA(VLOOKUP(A375,InfoSecThreats!A:B,2,FALSE()),"")</f>
        <v/>
      </c>
      <c r="D375" s="7" t="str">
        <f>_xlfn.IFNA(VLOOKUP(Vulnerabilities!C375,Assets!A:C,2,FALSE()),"")</f>
        <v/>
      </c>
      <c r="E375" s="7" t="str">
        <f>_xlfn.IFNA(VLOOKUP(Vulnerabilities!C375,Assets!A:C,3,FALSE()),"")</f>
        <v/>
      </c>
      <c r="G375" s="5" t="str">
        <f t="shared" si="4"/>
        <v/>
      </c>
      <c r="K375" s="5" t="str">
        <f>_xlfn.IFNA(VLOOKUP(_xlfn.CONCAT(I375,"|",J375),RiskValues!C:D,2,FALSE()),"")</f>
        <v/>
      </c>
    </row>
    <row r="376" spans="2:11" x14ac:dyDescent="0.45">
      <c r="B376" s="7" t="str">
        <f>_xlfn.IFNA(VLOOKUP(A376,InfoSecThreats!A:B,2,FALSE()),"")</f>
        <v/>
      </c>
      <c r="D376" s="7" t="str">
        <f>_xlfn.IFNA(VLOOKUP(Vulnerabilities!C376,Assets!A:C,2,FALSE()),"")</f>
        <v/>
      </c>
      <c r="E376" s="7" t="str">
        <f>_xlfn.IFNA(VLOOKUP(Vulnerabilities!C376,Assets!A:C,3,FALSE()),"")</f>
        <v/>
      </c>
      <c r="G376" s="5" t="str">
        <f t="shared" si="4"/>
        <v/>
      </c>
      <c r="K376" s="5" t="str">
        <f>_xlfn.IFNA(VLOOKUP(_xlfn.CONCAT(I376,"|",J376),RiskValues!C:D,2,FALSE()),"")</f>
        <v/>
      </c>
    </row>
    <row r="377" spans="2:11" x14ac:dyDescent="0.45">
      <c r="B377" s="7" t="str">
        <f>_xlfn.IFNA(VLOOKUP(A377,InfoSecThreats!A:B,2,FALSE()),"")</f>
        <v/>
      </c>
      <c r="D377" s="7" t="str">
        <f>_xlfn.IFNA(VLOOKUP(Vulnerabilities!C377,Assets!A:C,2,FALSE()),"")</f>
        <v/>
      </c>
      <c r="E377" s="7" t="str">
        <f>_xlfn.IFNA(VLOOKUP(Vulnerabilities!C377,Assets!A:C,3,FALSE()),"")</f>
        <v/>
      </c>
      <c r="G377" s="5" t="str">
        <f t="shared" si="4"/>
        <v/>
      </c>
      <c r="K377" s="5" t="str">
        <f>_xlfn.IFNA(VLOOKUP(_xlfn.CONCAT(I377,"|",J377),RiskValues!C:D,2,FALSE()),"")</f>
        <v/>
      </c>
    </row>
    <row r="378" spans="2:11" x14ac:dyDescent="0.45">
      <c r="B378" s="7" t="str">
        <f>_xlfn.IFNA(VLOOKUP(A378,InfoSecThreats!A:B,2,FALSE()),"")</f>
        <v/>
      </c>
      <c r="D378" s="7" t="str">
        <f>_xlfn.IFNA(VLOOKUP(Vulnerabilities!C378,Assets!A:C,2,FALSE()),"")</f>
        <v/>
      </c>
      <c r="E378" s="7" t="str">
        <f>_xlfn.IFNA(VLOOKUP(Vulnerabilities!C378,Assets!A:C,3,FALSE()),"")</f>
        <v/>
      </c>
      <c r="G378" s="5" t="str">
        <f t="shared" si="4"/>
        <v/>
      </c>
      <c r="K378" s="5" t="str">
        <f>_xlfn.IFNA(VLOOKUP(_xlfn.CONCAT(I378,"|",J378),RiskValues!C:D,2,FALSE()),"")</f>
        <v/>
      </c>
    </row>
    <row r="379" spans="2:11" x14ac:dyDescent="0.45">
      <c r="B379" s="7" t="str">
        <f>_xlfn.IFNA(VLOOKUP(A379,InfoSecThreats!A:B,2,FALSE()),"")</f>
        <v/>
      </c>
      <c r="D379" s="7" t="str">
        <f>_xlfn.IFNA(VLOOKUP(Vulnerabilities!C379,Assets!A:C,2,FALSE()),"")</f>
        <v/>
      </c>
      <c r="E379" s="7" t="str">
        <f>_xlfn.IFNA(VLOOKUP(Vulnerabilities!C379,Assets!A:C,3,FALSE()),"")</f>
        <v/>
      </c>
      <c r="G379" s="5" t="str">
        <f t="shared" si="4"/>
        <v/>
      </c>
      <c r="K379" s="5" t="str">
        <f>_xlfn.IFNA(VLOOKUP(_xlfn.CONCAT(I379,"|",J379),RiskValues!C:D,2,FALSE()),"")</f>
        <v/>
      </c>
    </row>
    <row r="380" spans="2:11" x14ac:dyDescent="0.45">
      <c r="B380" s="7" t="str">
        <f>_xlfn.IFNA(VLOOKUP(A380,InfoSecThreats!A:B,2,FALSE()),"")</f>
        <v/>
      </c>
      <c r="D380" s="7" t="str">
        <f>_xlfn.IFNA(VLOOKUP(Vulnerabilities!C380,Assets!A:C,2,FALSE()),"")</f>
        <v/>
      </c>
      <c r="E380" s="7" t="str">
        <f>_xlfn.IFNA(VLOOKUP(Vulnerabilities!C380,Assets!A:C,3,FALSE()),"")</f>
        <v/>
      </c>
      <c r="G380" s="5" t="str">
        <f t="shared" si="4"/>
        <v/>
      </c>
      <c r="K380" s="5" t="str">
        <f>_xlfn.IFNA(VLOOKUP(_xlfn.CONCAT(I380,"|",J380),RiskValues!C:D,2,FALSE()),"")</f>
        <v/>
      </c>
    </row>
    <row r="381" spans="2:11" x14ac:dyDescent="0.45">
      <c r="B381" s="7" t="str">
        <f>_xlfn.IFNA(VLOOKUP(A381,InfoSecThreats!A:B,2,FALSE()),"")</f>
        <v/>
      </c>
      <c r="D381" s="7" t="str">
        <f>_xlfn.IFNA(VLOOKUP(Vulnerabilities!C381,Assets!A:C,2,FALSE()),"")</f>
        <v/>
      </c>
      <c r="E381" s="7" t="str">
        <f>_xlfn.IFNA(VLOOKUP(Vulnerabilities!C381,Assets!A:C,3,FALSE()),"")</f>
        <v/>
      </c>
      <c r="G381" s="5" t="str">
        <f t="shared" si="4"/>
        <v/>
      </c>
      <c r="K381" s="5" t="str">
        <f>_xlfn.IFNA(VLOOKUP(_xlfn.CONCAT(I381,"|",J381),RiskValues!C:D,2,FALSE()),"")</f>
        <v/>
      </c>
    </row>
    <row r="382" spans="2:11" x14ac:dyDescent="0.45">
      <c r="B382" s="7" t="str">
        <f>_xlfn.IFNA(VLOOKUP(A382,InfoSecThreats!A:B,2,FALSE()),"")</f>
        <v/>
      </c>
      <c r="D382" s="7" t="str">
        <f>_xlfn.IFNA(VLOOKUP(Vulnerabilities!C382,Assets!A:C,2,FALSE()),"")</f>
        <v/>
      </c>
      <c r="E382" s="7" t="str">
        <f>_xlfn.IFNA(VLOOKUP(Vulnerabilities!C382,Assets!A:C,3,FALSE()),"")</f>
        <v/>
      </c>
      <c r="G382" s="5" t="str">
        <f t="shared" si="4"/>
        <v/>
      </c>
      <c r="K382" s="5" t="str">
        <f>_xlfn.IFNA(VLOOKUP(_xlfn.CONCAT(I382,"|",J382),RiskValues!C:D,2,FALSE()),"")</f>
        <v/>
      </c>
    </row>
    <row r="383" spans="2:11" x14ac:dyDescent="0.45">
      <c r="B383" s="7" t="str">
        <f>_xlfn.IFNA(VLOOKUP(A383,InfoSecThreats!A:B,2,FALSE()),"")</f>
        <v/>
      </c>
      <c r="D383" s="7" t="str">
        <f>_xlfn.IFNA(VLOOKUP(Vulnerabilities!C383,Assets!A:C,2,FALSE()),"")</f>
        <v/>
      </c>
      <c r="E383" s="7" t="str">
        <f>_xlfn.IFNA(VLOOKUP(Vulnerabilities!C383,Assets!A:C,3,FALSE()),"")</f>
        <v/>
      </c>
      <c r="G383" s="5" t="str">
        <f t="shared" si="4"/>
        <v/>
      </c>
      <c r="K383" s="5" t="str">
        <f>_xlfn.IFNA(VLOOKUP(_xlfn.CONCAT(I383,"|",J383),RiskValues!C:D,2,FALSE()),"")</f>
        <v/>
      </c>
    </row>
    <row r="384" spans="2:11" x14ac:dyDescent="0.45">
      <c r="B384" s="7" t="str">
        <f>_xlfn.IFNA(VLOOKUP(A384,InfoSecThreats!A:B,2,FALSE()),"")</f>
        <v/>
      </c>
      <c r="D384" s="7" t="str">
        <f>_xlfn.IFNA(VLOOKUP(Vulnerabilities!C384,Assets!A:C,2,FALSE()),"")</f>
        <v/>
      </c>
      <c r="E384" s="7" t="str">
        <f>_xlfn.IFNA(VLOOKUP(Vulnerabilities!C384,Assets!A:C,3,FALSE()),"")</f>
        <v/>
      </c>
      <c r="G384" s="5" t="str">
        <f t="shared" si="4"/>
        <v/>
      </c>
      <c r="K384" s="5" t="str">
        <f>_xlfn.IFNA(VLOOKUP(_xlfn.CONCAT(I384,"|",J384),RiskValues!C:D,2,FALSE()),"")</f>
        <v/>
      </c>
    </row>
    <row r="385" spans="2:11" x14ac:dyDescent="0.45">
      <c r="B385" s="7" t="str">
        <f>_xlfn.IFNA(VLOOKUP(A385,InfoSecThreats!A:B,2,FALSE()),"")</f>
        <v/>
      </c>
      <c r="D385" s="7" t="str">
        <f>_xlfn.IFNA(VLOOKUP(Vulnerabilities!C385,Assets!A:C,2,FALSE()),"")</f>
        <v/>
      </c>
      <c r="E385" s="7" t="str">
        <f>_xlfn.IFNA(VLOOKUP(Vulnerabilities!C385,Assets!A:C,3,FALSE()),"")</f>
        <v/>
      </c>
      <c r="G385" s="5" t="str">
        <f t="shared" si="4"/>
        <v/>
      </c>
      <c r="K385" s="5" t="str">
        <f>_xlfn.IFNA(VLOOKUP(_xlfn.CONCAT(I385,"|",J385),RiskValues!C:D,2,FALSE()),"")</f>
        <v/>
      </c>
    </row>
    <row r="386" spans="2:11" x14ac:dyDescent="0.45">
      <c r="B386" s="7" t="str">
        <f>_xlfn.IFNA(VLOOKUP(A386,InfoSecThreats!A:B,2,FALSE()),"")</f>
        <v/>
      </c>
      <c r="D386" s="7" t="str">
        <f>_xlfn.IFNA(VLOOKUP(Vulnerabilities!C386,Assets!A:C,2,FALSE()),"")</f>
        <v/>
      </c>
      <c r="E386" s="7" t="str">
        <f>_xlfn.IFNA(VLOOKUP(Vulnerabilities!C386,Assets!A:C,3,FALSE()),"")</f>
        <v/>
      </c>
      <c r="G386" s="5" t="str">
        <f t="shared" si="4"/>
        <v/>
      </c>
      <c r="K386" s="5" t="str">
        <f>_xlfn.IFNA(VLOOKUP(_xlfn.CONCAT(I386,"|",J386),RiskValues!C:D,2,FALSE()),"")</f>
        <v/>
      </c>
    </row>
    <row r="387" spans="2:11" x14ac:dyDescent="0.45">
      <c r="B387" s="7" t="str">
        <f>_xlfn.IFNA(VLOOKUP(A387,InfoSecThreats!A:B,2,FALSE()),"")</f>
        <v/>
      </c>
      <c r="D387" s="7" t="str">
        <f>_xlfn.IFNA(VLOOKUP(Vulnerabilities!C387,Assets!A:C,2,FALSE()),"")</f>
        <v/>
      </c>
      <c r="E387" s="7" t="str">
        <f>_xlfn.IFNA(VLOOKUP(Vulnerabilities!C387,Assets!A:C,3,FALSE()),"")</f>
        <v/>
      </c>
      <c r="G387" s="5" t="str">
        <f t="shared" si="4"/>
        <v/>
      </c>
      <c r="K387" s="5" t="str">
        <f>_xlfn.IFNA(VLOOKUP(_xlfn.CONCAT(I387,"|",J387),RiskValues!C:D,2,FALSE()),"")</f>
        <v/>
      </c>
    </row>
    <row r="388" spans="2:11" x14ac:dyDescent="0.45">
      <c r="B388" s="7" t="str">
        <f>_xlfn.IFNA(VLOOKUP(A388,InfoSecThreats!A:B,2,FALSE()),"")</f>
        <v/>
      </c>
      <c r="D388" s="7" t="str">
        <f>_xlfn.IFNA(VLOOKUP(Vulnerabilities!C388,Assets!A:C,2,FALSE()),"")</f>
        <v/>
      </c>
      <c r="E388" s="7" t="str">
        <f>_xlfn.IFNA(VLOOKUP(Vulnerabilities!C388,Assets!A:C,3,FALSE()),"")</f>
        <v/>
      </c>
      <c r="G388" s="5" t="str">
        <f t="shared" si="4"/>
        <v/>
      </c>
      <c r="K388" s="5" t="str">
        <f>_xlfn.IFNA(VLOOKUP(_xlfn.CONCAT(I388,"|",J388),RiskValues!C:D,2,FALSE()),"")</f>
        <v/>
      </c>
    </row>
    <row r="389" spans="2:11" x14ac:dyDescent="0.45">
      <c r="B389" s="7" t="str">
        <f>_xlfn.IFNA(VLOOKUP(A389,InfoSecThreats!A:B,2,FALSE()),"")</f>
        <v/>
      </c>
      <c r="D389" s="7" t="str">
        <f>_xlfn.IFNA(VLOOKUP(Vulnerabilities!C389,Assets!A:C,2,FALSE()),"")</f>
        <v/>
      </c>
      <c r="E389" s="7" t="str">
        <f>_xlfn.IFNA(VLOOKUP(Vulnerabilities!C389,Assets!A:C,3,FALSE()),"")</f>
        <v/>
      </c>
      <c r="G389" s="5" t="str">
        <f t="shared" si="4"/>
        <v/>
      </c>
      <c r="K389" s="5" t="str">
        <f>_xlfn.IFNA(VLOOKUP(_xlfn.CONCAT(I389,"|",J389),RiskValues!C:D,2,FALSE()),"")</f>
        <v/>
      </c>
    </row>
    <row r="390" spans="2:11" x14ac:dyDescent="0.45">
      <c r="B390" s="7" t="str">
        <f>_xlfn.IFNA(VLOOKUP(A390,InfoSecThreats!A:B,2,FALSE()),"")</f>
        <v/>
      </c>
      <c r="D390" s="7" t="str">
        <f>_xlfn.IFNA(VLOOKUP(Vulnerabilities!C390,Assets!A:C,2,FALSE()),"")</f>
        <v/>
      </c>
      <c r="E390" s="7" t="str">
        <f>_xlfn.IFNA(VLOOKUP(Vulnerabilities!C390,Assets!A:C,3,FALSE()),"")</f>
        <v/>
      </c>
      <c r="G390" s="5" t="str">
        <f t="shared" si="4"/>
        <v/>
      </c>
      <c r="K390" s="5" t="str">
        <f>_xlfn.IFNA(VLOOKUP(_xlfn.CONCAT(I390,"|",J390),RiskValues!C:D,2,FALSE()),"")</f>
        <v/>
      </c>
    </row>
    <row r="391" spans="2:11" x14ac:dyDescent="0.45">
      <c r="B391" s="7" t="str">
        <f>_xlfn.IFNA(VLOOKUP(A391,InfoSecThreats!A:B,2,FALSE()),"")</f>
        <v/>
      </c>
      <c r="D391" s="7" t="str">
        <f>_xlfn.IFNA(VLOOKUP(Vulnerabilities!C391,Assets!A:C,2,FALSE()),"")</f>
        <v/>
      </c>
      <c r="E391" s="7" t="str">
        <f>_xlfn.IFNA(VLOOKUP(Vulnerabilities!C391,Assets!A:C,3,FALSE()),"")</f>
        <v/>
      </c>
      <c r="G391" s="5" t="str">
        <f t="shared" si="4"/>
        <v/>
      </c>
      <c r="K391" s="5" t="str">
        <f>_xlfn.IFNA(VLOOKUP(_xlfn.CONCAT(I391,"|",J391),RiskValues!C:D,2,FALSE()),"")</f>
        <v/>
      </c>
    </row>
    <row r="392" spans="2:11" x14ac:dyDescent="0.45">
      <c r="B392" s="7" t="str">
        <f>_xlfn.IFNA(VLOOKUP(A392,InfoSecThreats!A:B,2,FALSE()),"")</f>
        <v/>
      </c>
      <c r="D392" s="7" t="str">
        <f>_xlfn.IFNA(VLOOKUP(Vulnerabilities!C392,Assets!A:C,2,FALSE()),"")</f>
        <v/>
      </c>
      <c r="E392" s="7" t="str">
        <f>_xlfn.IFNA(VLOOKUP(Vulnerabilities!C392,Assets!A:C,3,FALSE()),"")</f>
        <v/>
      </c>
      <c r="G392" s="5" t="str">
        <f t="shared" si="4"/>
        <v/>
      </c>
      <c r="K392" s="5" t="str">
        <f>_xlfn.IFNA(VLOOKUP(_xlfn.CONCAT(I392,"|",J392),RiskValues!C:D,2,FALSE()),"")</f>
        <v/>
      </c>
    </row>
    <row r="393" spans="2:11" x14ac:dyDescent="0.45">
      <c r="B393" s="7" t="str">
        <f>_xlfn.IFNA(VLOOKUP(A393,InfoSecThreats!A:B,2,FALSE()),"")</f>
        <v/>
      </c>
      <c r="D393" s="7" t="str">
        <f>_xlfn.IFNA(VLOOKUP(Vulnerabilities!C393,Assets!A:C,2,FALSE()),"")</f>
        <v/>
      </c>
      <c r="E393" s="7" t="str">
        <f>_xlfn.IFNA(VLOOKUP(Vulnerabilities!C393,Assets!A:C,3,FALSE()),"")</f>
        <v/>
      </c>
      <c r="G393" s="5" t="str">
        <f t="shared" si="4"/>
        <v/>
      </c>
      <c r="K393" s="5" t="str">
        <f>_xlfn.IFNA(VLOOKUP(_xlfn.CONCAT(I393,"|",J393),RiskValues!C:D,2,FALSE()),"")</f>
        <v/>
      </c>
    </row>
    <row r="394" spans="2:11" x14ac:dyDescent="0.45">
      <c r="B394" s="7" t="str">
        <f>_xlfn.IFNA(VLOOKUP(A394,InfoSecThreats!A:B,2,FALSE()),"")</f>
        <v/>
      </c>
      <c r="D394" s="7" t="str">
        <f>_xlfn.IFNA(VLOOKUP(Vulnerabilities!C394,Assets!A:C,2,FALSE()),"")</f>
        <v/>
      </c>
      <c r="E394" s="7" t="str">
        <f>_xlfn.IFNA(VLOOKUP(Vulnerabilities!C394,Assets!A:C,3,FALSE()),"")</f>
        <v/>
      </c>
      <c r="G394" s="5" t="str">
        <f t="shared" si="4"/>
        <v/>
      </c>
      <c r="K394" s="5" t="str">
        <f>_xlfn.IFNA(VLOOKUP(_xlfn.CONCAT(I394,"|",J394),RiskValues!C:D,2,FALSE()),"")</f>
        <v/>
      </c>
    </row>
    <row r="395" spans="2:11" x14ac:dyDescent="0.45">
      <c r="B395" s="7" t="str">
        <f>_xlfn.IFNA(VLOOKUP(A395,InfoSecThreats!A:B,2,FALSE()),"")</f>
        <v/>
      </c>
      <c r="D395" s="7" t="str">
        <f>_xlfn.IFNA(VLOOKUP(Vulnerabilities!C395,Assets!A:C,2,FALSE()),"")</f>
        <v/>
      </c>
      <c r="E395" s="7" t="str">
        <f>_xlfn.IFNA(VLOOKUP(Vulnerabilities!C395,Assets!A:C,3,FALSE()),"")</f>
        <v/>
      </c>
      <c r="G395" s="5" t="str">
        <f t="shared" si="4"/>
        <v/>
      </c>
      <c r="K395" s="5" t="str">
        <f>_xlfn.IFNA(VLOOKUP(_xlfn.CONCAT(I395,"|",J395),RiskValues!C:D,2,FALSE()),"")</f>
        <v/>
      </c>
    </row>
    <row r="396" spans="2:11" x14ac:dyDescent="0.45">
      <c r="B396" s="7" t="str">
        <f>_xlfn.IFNA(VLOOKUP(A396,InfoSecThreats!A:B,2,FALSE()),"")</f>
        <v/>
      </c>
      <c r="D396" s="7" t="str">
        <f>_xlfn.IFNA(VLOOKUP(Vulnerabilities!C396,Assets!A:C,2,FALSE()),"")</f>
        <v/>
      </c>
      <c r="E396" s="7" t="str">
        <f>_xlfn.IFNA(VLOOKUP(Vulnerabilities!C396,Assets!A:C,3,FALSE()),"")</f>
        <v/>
      </c>
      <c r="G396" s="5" t="str">
        <f t="shared" si="4"/>
        <v/>
      </c>
      <c r="K396" s="5" t="str">
        <f>_xlfn.IFNA(VLOOKUP(_xlfn.CONCAT(I396,"|",J396),RiskValues!C:D,2,FALSE()),"")</f>
        <v/>
      </c>
    </row>
    <row r="397" spans="2:11" x14ac:dyDescent="0.45">
      <c r="B397" s="7" t="str">
        <f>_xlfn.IFNA(VLOOKUP(A397,InfoSecThreats!A:B,2,FALSE()),"")</f>
        <v/>
      </c>
      <c r="D397" s="7" t="str">
        <f>_xlfn.IFNA(VLOOKUP(Vulnerabilities!C397,Assets!A:C,2,FALSE()),"")</f>
        <v/>
      </c>
      <c r="E397" s="7" t="str">
        <f>_xlfn.IFNA(VLOOKUP(Vulnerabilities!C397,Assets!A:C,3,FALSE()),"")</f>
        <v/>
      </c>
      <c r="G397" s="5" t="str">
        <f t="shared" si="4"/>
        <v/>
      </c>
      <c r="K397" s="5" t="str">
        <f>_xlfn.IFNA(VLOOKUP(_xlfn.CONCAT(I397,"|",J397),RiskValues!C:D,2,FALSE()),"")</f>
        <v/>
      </c>
    </row>
    <row r="398" spans="2:11" x14ac:dyDescent="0.45">
      <c r="B398" s="7" t="str">
        <f>_xlfn.IFNA(VLOOKUP(A398,InfoSecThreats!A:B,2,FALSE()),"")</f>
        <v/>
      </c>
      <c r="D398" s="7" t="str">
        <f>_xlfn.IFNA(VLOOKUP(Vulnerabilities!C398,Assets!A:C,2,FALSE()),"")</f>
        <v/>
      </c>
      <c r="E398" s="7" t="str">
        <f>_xlfn.IFNA(VLOOKUP(Vulnerabilities!C398,Assets!A:C,3,FALSE()),"")</f>
        <v/>
      </c>
      <c r="G398" s="5" t="str">
        <f t="shared" si="4"/>
        <v/>
      </c>
      <c r="K398" s="5" t="str">
        <f>_xlfn.IFNA(VLOOKUP(_xlfn.CONCAT(I398,"|",J398),RiskValues!C:D,2,FALSE()),"")</f>
        <v/>
      </c>
    </row>
    <row r="399" spans="2:11" x14ac:dyDescent="0.45">
      <c r="B399" s="7" t="str">
        <f>_xlfn.IFNA(VLOOKUP(A399,InfoSecThreats!A:B,2,FALSE()),"")</f>
        <v/>
      </c>
      <c r="D399" s="7" t="str">
        <f>_xlfn.IFNA(VLOOKUP(Vulnerabilities!C399,Assets!A:C,2,FALSE()),"")</f>
        <v/>
      </c>
      <c r="E399" s="7" t="str">
        <f>_xlfn.IFNA(VLOOKUP(Vulnerabilities!C399,Assets!A:C,3,FALSE()),"")</f>
        <v/>
      </c>
      <c r="G399" s="5" t="str">
        <f t="shared" si="4"/>
        <v/>
      </c>
      <c r="K399" s="5" t="str">
        <f>_xlfn.IFNA(VLOOKUP(_xlfn.CONCAT(I399,"|",J399),RiskValues!C:D,2,FALSE()),"")</f>
        <v/>
      </c>
    </row>
    <row r="400" spans="2:11" x14ac:dyDescent="0.45">
      <c r="B400" s="7" t="str">
        <f>_xlfn.IFNA(VLOOKUP(A400,InfoSecThreats!A:B,2,FALSE()),"")</f>
        <v/>
      </c>
      <c r="D400" s="7" t="str">
        <f>_xlfn.IFNA(VLOOKUP(Vulnerabilities!C400,Assets!A:C,2,FALSE()),"")</f>
        <v/>
      </c>
      <c r="E400" s="7" t="str">
        <f>_xlfn.IFNA(VLOOKUP(Vulnerabilities!C400,Assets!A:C,3,FALSE()),"")</f>
        <v/>
      </c>
      <c r="G400" s="5" t="str">
        <f t="shared" si="4"/>
        <v/>
      </c>
      <c r="K400" s="5" t="str">
        <f>_xlfn.IFNA(VLOOKUP(_xlfn.CONCAT(I400,"|",J400),RiskValues!C:D,2,FALSE()),"")</f>
        <v/>
      </c>
    </row>
    <row r="401" spans="2:11" x14ac:dyDescent="0.45">
      <c r="B401" s="7" t="str">
        <f>_xlfn.IFNA(VLOOKUP(A401,InfoSecThreats!A:B,2,FALSE()),"")</f>
        <v/>
      </c>
      <c r="D401" s="7" t="str">
        <f>_xlfn.IFNA(VLOOKUP(Vulnerabilities!C401,Assets!A:C,2,FALSE()),"")</f>
        <v/>
      </c>
      <c r="E401" s="7" t="str">
        <f>_xlfn.IFNA(VLOOKUP(Vulnerabilities!C401,Assets!A:C,3,FALSE()),"")</f>
        <v/>
      </c>
      <c r="G401" s="5" t="str">
        <f t="shared" si="4"/>
        <v/>
      </c>
      <c r="K401" s="5" t="str">
        <f>_xlfn.IFNA(VLOOKUP(_xlfn.CONCAT(I401,"|",J401),RiskValues!C:D,2,FALSE()),"")</f>
        <v/>
      </c>
    </row>
  </sheetData>
  <autoFilter ref="A1:L401" xr:uid="{00000000-0009-0000-0000-000002000000}"/>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zoomScaleNormal="100" workbookViewId="0">
      <selection activeCell="A11" sqref="A11"/>
    </sheetView>
  </sheetViews>
  <sheetFormatPr defaultColWidth="8.6640625" defaultRowHeight="14.25" x14ac:dyDescent="0.45"/>
  <cols>
    <col min="1" max="1" width="58.53125" bestFit="1" customWidth="1"/>
    <col min="3" max="3" width="36.53125" bestFit="1" customWidth="1"/>
  </cols>
  <sheetData>
    <row r="1" spans="1:3" ht="26.25" customHeight="1" x14ac:dyDescent="0.75">
      <c r="A1" s="1" t="s">
        <v>90</v>
      </c>
    </row>
    <row r="2" spans="1:3" x14ac:dyDescent="0.45">
      <c r="A2" t="s">
        <v>91</v>
      </c>
    </row>
    <row r="3" spans="1:3" x14ac:dyDescent="0.45">
      <c r="A3" t="s">
        <v>92</v>
      </c>
    </row>
    <row r="4" spans="1:3" x14ac:dyDescent="0.45">
      <c r="A4" t="s">
        <v>93</v>
      </c>
    </row>
    <row r="6" spans="1:3" x14ac:dyDescent="0.45">
      <c r="A6" t="s">
        <v>94</v>
      </c>
      <c r="C6" t="s">
        <v>95</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8"/>
  <sheetViews>
    <sheetView tabSelected="1" zoomScale="80" zoomScaleNormal="80" workbookViewId="0">
      <pane xSplit="4" ySplit="2" topLeftCell="E3" activePane="bottomRight" state="frozen"/>
      <selection pane="topRight" activeCell="E1" sqref="E1"/>
      <selection pane="bottomLeft" activeCell="A3" sqref="A3"/>
      <selection pane="bottomRight" activeCell="C14" sqref="C14"/>
    </sheetView>
  </sheetViews>
  <sheetFormatPr defaultColWidth="8.6640625" defaultRowHeight="14.25" x14ac:dyDescent="0.45"/>
  <cols>
    <col min="1" max="1" width="9.1328125" style="6" bestFit="1" customWidth="1"/>
    <col min="2" max="2" width="9.1328125" bestFit="1" customWidth="1"/>
    <col min="3" max="3" width="46.3984375" bestFit="1" customWidth="1"/>
    <col min="4" max="4" width="8.53125" style="6" bestFit="1" customWidth="1"/>
    <col min="5" max="5" width="10.3984375" style="6" bestFit="1" customWidth="1"/>
    <col min="6" max="6" width="7.86328125" style="6" bestFit="1" customWidth="1"/>
    <col min="7" max="7" width="9.73046875" style="6" bestFit="1" customWidth="1"/>
    <col min="8" max="8" width="10.06640625" style="6" bestFit="1" customWidth="1"/>
    <col min="9" max="9" width="6.86328125" style="6" bestFit="1" customWidth="1"/>
    <col min="10" max="10" width="8.6640625" style="6" bestFit="1" customWidth="1"/>
    <col min="11" max="11" width="7.59765625" style="6" bestFit="1" customWidth="1"/>
    <col min="12" max="13" width="8.46484375" style="6" bestFit="1" customWidth="1"/>
    <col min="14" max="14" width="7.86328125" style="6" bestFit="1" customWidth="1"/>
    <col min="15" max="15" width="10.46484375" style="6" bestFit="1" customWidth="1"/>
    <col min="16" max="16" width="10.1328125" style="6" bestFit="1" customWidth="1"/>
  </cols>
  <sheetData>
    <row r="1" spans="1:16" x14ac:dyDescent="0.45">
      <c r="A1" s="21" t="s">
        <v>4</v>
      </c>
      <c r="B1" s="22" t="s">
        <v>5</v>
      </c>
      <c r="C1" s="22" t="s">
        <v>6</v>
      </c>
      <c r="D1" s="21" t="s">
        <v>27</v>
      </c>
      <c r="E1" s="21">
        <v>1</v>
      </c>
      <c r="F1" s="21">
        <v>2</v>
      </c>
      <c r="G1" s="21">
        <v>3</v>
      </c>
      <c r="H1" s="21">
        <v>4</v>
      </c>
      <c r="I1" s="21">
        <v>5</v>
      </c>
      <c r="J1" s="21">
        <v>6</v>
      </c>
      <c r="K1" s="21">
        <v>7</v>
      </c>
      <c r="L1" s="21">
        <v>8</v>
      </c>
      <c r="M1" s="21">
        <v>9</v>
      </c>
      <c r="N1" s="21">
        <v>10</v>
      </c>
      <c r="O1" s="21">
        <v>11</v>
      </c>
      <c r="P1" s="21">
        <v>12</v>
      </c>
    </row>
    <row r="2" spans="1:16" ht="60" customHeight="1" x14ac:dyDescent="0.45">
      <c r="A2" s="17"/>
      <c r="B2" s="18"/>
      <c r="C2" s="18"/>
      <c r="D2" s="17"/>
      <c r="E2" s="19" t="str">
        <f>VLOOKUP(E1,InfoSecThreats!$A:$B,2,FALSE())</f>
        <v>People errors</v>
      </c>
      <c r="F2" s="19" t="str">
        <f>VLOOKUP(F1,InfoSecThreats!$A:$B,2,FALSE())</f>
        <v>Software attacks</v>
      </c>
      <c r="G2" s="19" t="str">
        <f>VLOOKUP(G1,InfoSecThreats!$A:$B,2,FALSE())</f>
        <v>Information extortion</v>
      </c>
      <c r="H2" s="19" t="str">
        <f>VLOOKUP(H1,InfoSecThreats!$A:$B,2,FALSE())</f>
        <v>Espionage and trespass</v>
      </c>
      <c r="I2" s="19" t="str">
        <f>VLOOKUP(I1,InfoSecThreats!$A:$B,2,FALSE())</f>
        <v>Theft</v>
      </c>
      <c r="J2" s="20" t="str">
        <f>VLOOKUP(J1,InfoSecThreats!$A:$B,2,FALSE())</f>
        <v>Technological obsolescence</v>
      </c>
      <c r="K2" s="19" t="str">
        <f>VLOOKUP(K1,InfoSecThreats!$A:$B,2,FALSE())</f>
        <v>Forces of nature</v>
      </c>
      <c r="L2" s="19" t="str">
        <f>VLOOKUP(L1,InfoSecThreats!$A:$B,2,FALSE())</f>
        <v>Technical hardware failures or errors</v>
      </c>
      <c r="M2" s="19" t="str">
        <f>VLOOKUP(M1,InfoSecThreats!$A:$B,2,FALSE())</f>
        <v>Technical software failures or errors</v>
      </c>
      <c r="N2" s="19" t="str">
        <f>VLOOKUP(N1,InfoSecThreats!$A:$B,2,FALSE())</f>
        <v>Changing quality of services</v>
      </c>
      <c r="O2" s="19" t="str">
        <f>VLOOKUP(O1,InfoSecThreats!$A:$B,2,FALSE())</f>
        <v>Sabotage and vandalism</v>
      </c>
      <c r="P2" s="20" t="str">
        <f>VLOOKUP(P1,InfoSecThreats!$A:$B,2,FALSE())</f>
        <v>IP compromises</v>
      </c>
    </row>
    <row r="3" spans="1:16" x14ac:dyDescent="0.45">
      <c r="A3" s="23">
        <v>1</v>
      </c>
      <c r="B3" s="24" t="str">
        <f>IF(VLOOKUP($A3,Assets!$A:$C,2,FALSE())=0,"",VLOOKUP($A3,Assets!$A:$C,2,FALSE()))</f>
        <v>Data</v>
      </c>
      <c r="C3" s="25" t="str">
        <f>IF(VLOOKUP($A3,Assets!$A:$C,3,FALSE())=0,"",VLOOKUP($A3,Assets!$A:$C,3,FALSE()))</f>
        <v>Client financial records (tax returns, financial statements)</v>
      </c>
      <c r="D3" s="10">
        <v>1</v>
      </c>
      <c r="E3" s="8" t="str">
        <f>_xlfn.IFNA(VLOOKUP(_xlfn.CONCAT("T",E$1,"V",$D3,"A",$A3),Vulnerabilities!$G:$G,1,FALSE()),"")</f>
        <v>T1V1A1</v>
      </c>
      <c r="F3" s="8" t="str">
        <f>_xlfn.IFNA(VLOOKUP(_xlfn.CONCAT("T",F$1,"V",$D3,"A",$A3),Vulnerabilities!$G:$G,1,FALSE()),"")</f>
        <v>T2V1A1</v>
      </c>
      <c r="G3" s="8" t="str">
        <f>_xlfn.IFNA(VLOOKUP(_xlfn.CONCAT("T",G$1,"V",$D3,"A",$A3),Vulnerabilities!$G:$G,1,FALSE()),"")</f>
        <v>T3V1A1</v>
      </c>
      <c r="H3" s="8" t="str">
        <f>_xlfn.IFNA(VLOOKUP(_xlfn.CONCAT("T",H$1,"V",$D3,"A",$A3),Vulnerabilities!$G:$G,1,FALSE()),"")</f>
        <v>T4V1A1</v>
      </c>
      <c r="I3" s="8" t="str">
        <f>_xlfn.IFNA(VLOOKUP(_xlfn.CONCAT("T",I$1,"V",$D3,"A",$A3),Vulnerabilities!$G:$G,1,FALSE()),"")</f>
        <v/>
      </c>
      <c r="J3" s="8" t="str">
        <f>_xlfn.IFNA(VLOOKUP(_xlfn.CONCAT("T",J$1,"V",$D3,"A",$A3),Vulnerabilities!$G:$G,1,FALSE()),"")</f>
        <v/>
      </c>
      <c r="K3" s="8" t="str">
        <f>_xlfn.IFNA(VLOOKUP(_xlfn.CONCAT("T",K$1,"V",$D3,"A",$A3),Vulnerabilities!$G:$G,1,FALSE()),"")</f>
        <v/>
      </c>
      <c r="L3" s="8" t="str">
        <f>_xlfn.IFNA(VLOOKUP(_xlfn.CONCAT("T",L$1,"V",$D3,"A",$A3),Vulnerabilities!$G:$G,1,FALSE()),"")</f>
        <v/>
      </c>
      <c r="M3" s="8" t="str">
        <f>_xlfn.IFNA(VLOOKUP(_xlfn.CONCAT("T",M$1,"V",$D3,"A",$A3),Vulnerabilities!$G:$G,1,FALSE()),"")</f>
        <v/>
      </c>
      <c r="N3" s="8" t="str">
        <f>_xlfn.IFNA(VLOOKUP(_xlfn.CONCAT("T",N$1,"V",$D3,"A",$A3),Vulnerabilities!$G:$G,1,FALSE()),"")</f>
        <v/>
      </c>
      <c r="O3" s="8" t="str">
        <f>_xlfn.IFNA(VLOOKUP(_xlfn.CONCAT("T",O$1,"V",$D3,"A",$A3),Vulnerabilities!$G:$G,1,FALSE()),"")</f>
        <v/>
      </c>
      <c r="P3" s="8" t="str">
        <f>_xlfn.IFNA(VLOOKUP(_xlfn.CONCAT("T",P$1,"V",$D3,"A",$A3),Vulnerabilities!$G:$G,1,FALSE()),"")</f>
        <v>T12V1A1</v>
      </c>
    </row>
    <row r="4" spans="1:16" x14ac:dyDescent="0.45">
      <c r="A4" s="23">
        <v>1</v>
      </c>
      <c r="B4" s="24" t="str">
        <f>IF(VLOOKUP($A4,Assets!$A:$C,2,FALSE())=0,"",VLOOKUP($A4,Assets!$A:$C,2,FALSE()))</f>
        <v>Data</v>
      </c>
      <c r="C4" s="25" t="str">
        <f>IF(VLOOKUP($A4,Assets!$A:$C,3,FALSE())=0,"",VLOOKUP($A4,Assets!$A:$C,3,FALSE()))</f>
        <v>Client financial records (tax returns, financial statements)</v>
      </c>
      <c r="D4" s="10">
        <v>2</v>
      </c>
      <c r="E4" s="8" t="str">
        <f>_xlfn.IFNA(VLOOKUP(_xlfn.CONCAT("T",E$1,"V",$D4,"A",$A4),Vulnerabilities!$G:$G,1,FALSE()),"")</f>
        <v/>
      </c>
      <c r="F4" s="8" t="str">
        <f>_xlfn.IFNA(VLOOKUP(_xlfn.CONCAT("T",F$1,"V",$D4,"A",$A4),Vulnerabilities!$G:$G,1,FALSE()),"")</f>
        <v/>
      </c>
      <c r="G4" s="8" t="str">
        <f>_xlfn.IFNA(VLOOKUP(_xlfn.CONCAT("T",G$1,"V",$D4,"A",$A4),Vulnerabilities!$G:$G,1,FALSE()),"")</f>
        <v/>
      </c>
      <c r="H4" s="8" t="str">
        <f>_xlfn.IFNA(VLOOKUP(_xlfn.CONCAT("T",H$1,"V",$D4,"A",$A4),Vulnerabilities!$G:$G,1,FALSE()),"")</f>
        <v/>
      </c>
      <c r="I4" s="8" t="str">
        <f>_xlfn.IFNA(VLOOKUP(_xlfn.CONCAT("T",I$1,"V",$D4,"A",$A4),Vulnerabilities!$G:$G,1,FALSE()),"")</f>
        <v/>
      </c>
      <c r="J4" s="8" t="str">
        <f>_xlfn.IFNA(VLOOKUP(_xlfn.CONCAT("T",J$1,"V",$D4,"A",$A4),Vulnerabilities!$G:$G,1,FALSE()),"")</f>
        <v/>
      </c>
      <c r="K4" s="8" t="str">
        <f>_xlfn.IFNA(VLOOKUP(_xlfn.CONCAT("T",K$1,"V",$D4,"A",$A4),Vulnerabilities!$G:$G,1,FALSE()),"")</f>
        <v/>
      </c>
      <c r="L4" s="8" t="str">
        <f>_xlfn.IFNA(VLOOKUP(_xlfn.CONCAT("T",L$1,"V",$D4,"A",$A4),Vulnerabilities!$G:$G,1,FALSE()),"")</f>
        <v/>
      </c>
      <c r="M4" s="8" t="str">
        <f>_xlfn.IFNA(VLOOKUP(_xlfn.CONCAT("T",M$1,"V",$D4,"A",$A4),Vulnerabilities!$G:$G,1,FALSE()),"")</f>
        <v/>
      </c>
      <c r="N4" s="8" t="str">
        <f>_xlfn.IFNA(VLOOKUP(_xlfn.CONCAT("T",N$1,"V",$D4,"A",$A4),Vulnerabilities!$G:$G,1,FALSE()),"")</f>
        <v/>
      </c>
      <c r="O4" s="8" t="str">
        <f>_xlfn.IFNA(VLOOKUP(_xlfn.CONCAT("T",O$1,"V",$D4,"A",$A4),Vulnerabilities!$G:$G,1,FALSE()),"")</f>
        <v/>
      </c>
      <c r="P4" s="8" t="str">
        <f>_xlfn.IFNA(VLOOKUP(_xlfn.CONCAT("T",P$1,"V",$D4,"A",$A4),Vulnerabilities!$G:$G,1,FALSE()),"")</f>
        <v/>
      </c>
    </row>
    <row r="5" spans="1:16" x14ac:dyDescent="0.45">
      <c r="A5" s="23">
        <v>1</v>
      </c>
      <c r="B5" s="24" t="str">
        <f>IF(VLOOKUP($A5,Assets!$A:$C,2,FALSE())=0,"",VLOOKUP($A5,Assets!$A:$C,2,FALSE()))</f>
        <v>Data</v>
      </c>
      <c r="C5" s="25" t="str">
        <f>IF(VLOOKUP($A5,Assets!$A:$C,3,FALSE())=0,"",VLOOKUP($A5,Assets!$A:$C,3,FALSE()))</f>
        <v>Client financial records (tax returns, financial statements)</v>
      </c>
      <c r="D5" s="10">
        <v>3</v>
      </c>
      <c r="E5" s="8" t="str">
        <f>_xlfn.IFNA(VLOOKUP(_xlfn.CONCAT("T",E$1,"V",$D5,"A",$A5),Vulnerabilities!$G:$G,1,FALSE()),"")</f>
        <v/>
      </c>
      <c r="F5" s="8" t="str">
        <f>_xlfn.IFNA(VLOOKUP(_xlfn.CONCAT("T",F$1,"V",$D5,"A",$A5),Vulnerabilities!$G:$G,1,FALSE()),"")</f>
        <v/>
      </c>
      <c r="G5" s="8" t="str">
        <f>_xlfn.IFNA(VLOOKUP(_xlfn.CONCAT("T",G$1,"V",$D5,"A",$A5),Vulnerabilities!$G:$G,1,FALSE()),"")</f>
        <v/>
      </c>
      <c r="H5" s="8" t="str">
        <f>_xlfn.IFNA(VLOOKUP(_xlfn.CONCAT("T",H$1,"V",$D5,"A",$A5),Vulnerabilities!$G:$G,1,FALSE()),"")</f>
        <v/>
      </c>
      <c r="I5" s="8" t="str">
        <f>_xlfn.IFNA(VLOOKUP(_xlfn.CONCAT("T",I$1,"V",$D5,"A",$A5),Vulnerabilities!$G:$G,1,FALSE()),"")</f>
        <v/>
      </c>
      <c r="J5" s="8" t="str">
        <f>_xlfn.IFNA(VLOOKUP(_xlfn.CONCAT("T",J$1,"V",$D5,"A",$A5),Vulnerabilities!$G:$G,1,FALSE()),"")</f>
        <v/>
      </c>
      <c r="K5" s="8" t="str">
        <f>_xlfn.IFNA(VLOOKUP(_xlfn.CONCAT("T",K$1,"V",$D5,"A",$A5),Vulnerabilities!$G:$G,1,FALSE()),"")</f>
        <v/>
      </c>
      <c r="L5" s="8" t="str">
        <f>_xlfn.IFNA(VLOOKUP(_xlfn.CONCAT("T",L$1,"V",$D5,"A",$A5),Vulnerabilities!$G:$G,1,FALSE()),"")</f>
        <v/>
      </c>
      <c r="M5" s="8" t="str">
        <f>_xlfn.IFNA(VLOOKUP(_xlfn.CONCAT("T",M$1,"V",$D5,"A",$A5),Vulnerabilities!$G:$G,1,FALSE()),"")</f>
        <v/>
      </c>
      <c r="N5" s="8" t="str">
        <f>_xlfn.IFNA(VLOOKUP(_xlfn.CONCAT("T",N$1,"V",$D5,"A",$A5),Vulnerabilities!$G:$G,1,FALSE()),"")</f>
        <v/>
      </c>
      <c r="O5" s="8" t="str">
        <f>_xlfn.IFNA(VLOOKUP(_xlfn.CONCAT("T",O$1,"V",$D5,"A",$A5),Vulnerabilities!$G:$G,1,FALSE()),"")</f>
        <v/>
      </c>
      <c r="P5" s="8" t="str">
        <f>_xlfn.IFNA(VLOOKUP(_xlfn.CONCAT("T",P$1,"V",$D5,"A",$A5),Vulnerabilities!$G:$G,1,FALSE()),"")</f>
        <v/>
      </c>
    </row>
    <row r="6" spans="1:16" x14ac:dyDescent="0.45">
      <c r="A6" s="23">
        <v>1</v>
      </c>
      <c r="B6" s="24" t="str">
        <f>IF(VLOOKUP($A6,Assets!$A:$C,2,FALSE())=0,"",VLOOKUP($A6,Assets!$A:$C,2,FALSE()))</f>
        <v>Data</v>
      </c>
      <c r="C6" s="25" t="str">
        <f>IF(VLOOKUP($A6,Assets!$A:$C,3,FALSE())=0,"",VLOOKUP($A6,Assets!$A:$C,3,FALSE()))</f>
        <v>Client financial records (tax returns, financial statements)</v>
      </c>
      <c r="D6" s="10">
        <v>4</v>
      </c>
      <c r="E6" s="8" t="str">
        <f>_xlfn.IFNA(VLOOKUP(_xlfn.CONCAT("T",E$1,"V",$D6,"A",$A6),Vulnerabilities!$G:$G,1,FALSE()),"")</f>
        <v/>
      </c>
      <c r="F6" s="8" t="str">
        <f>_xlfn.IFNA(VLOOKUP(_xlfn.CONCAT("T",F$1,"V",$D6,"A",$A6),Vulnerabilities!$G:$G,1,FALSE()),"")</f>
        <v/>
      </c>
      <c r="G6" s="8" t="str">
        <f>_xlfn.IFNA(VLOOKUP(_xlfn.CONCAT("T",G$1,"V",$D6,"A",$A6),Vulnerabilities!$G:$G,1,FALSE()),"")</f>
        <v/>
      </c>
      <c r="H6" s="8" t="str">
        <f>_xlfn.IFNA(VLOOKUP(_xlfn.CONCAT("T",H$1,"V",$D6,"A",$A6),Vulnerabilities!$G:$G,1,FALSE()),"")</f>
        <v/>
      </c>
      <c r="I6" s="8" t="str">
        <f>_xlfn.IFNA(VLOOKUP(_xlfn.CONCAT("T",I$1,"V",$D6,"A",$A6),Vulnerabilities!$G:$G,1,FALSE()),"")</f>
        <v/>
      </c>
      <c r="J6" s="8" t="str">
        <f>_xlfn.IFNA(VLOOKUP(_xlfn.CONCAT("T",J$1,"V",$D6,"A",$A6),Vulnerabilities!$G:$G,1,FALSE()),"")</f>
        <v/>
      </c>
      <c r="K6" s="8" t="str">
        <f>_xlfn.IFNA(VLOOKUP(_xlfn.CONCAT("T",K$1,"V",$D6,"A",$A6),Vulnerabilities!$G:$G,1,FALSE()),"")</f>
        <v/>
      </c>
      <c r="L6" s="8" t="str">
        <f>_xlfn.IFNA(VLOOKUP(_xlfn.CONCAT("T",L$1,"V",$D6,"A",$A6),Vulnerabilities!$G:$G,1,FALSE()),"")</f>
        <v/>
      </c>
      <c r="M6" s="8" t="str">
        <f>_xlfn.IFNA(VLOOKUP(_xlfn.CONCAT("T",M$1,"V",$D6,"A",$A6),Vulnerabilities!$G:$G,1,FALSE()),"")</f>
        <v/>
      </c>
      <c r="N6" s="8" t="str">
        <f>_xlfn.IFNA(VLOOKUP(_xlfn.CONCAT("T",N$1,"V",$D6,"A",$A6),Vulnerabilities!$G:$G,1,FALSE()),"")</f>
        <v/>
      </c>
      <c r="O6" s="8" t="str">
        <f>_xlfn.IFNA(VLOOKUP(_xlfn.CONCAT("T",O$1,"V",$D6,"A",$A6),Vulnerabilities!$G:$G,1,FALSE()),"")</f>
        <v/>
      </c>
      <c r="P6" s="8" t="str">
        <f>_xlfn.IFNA(VLOOKUP(_xlfn.CONCAT("T",P$1,"V",$D6,"A",$A6),Vulnerabilities!$G:$G,1,FALSE()),"")</f>
        <v/>
      </c>
    </row>
    <row r="7" spans="1:16" x14ac:dyDescent="0.45">
      <c r="A7" s="23">
        <f t="shared" ref="A7:A58" si="0">A3+1</f>
        <v>2</v>
      </c>
      <c r="B7" s="24" t="str">
        <f>IF(VLOOKUP($A7,Assets!$A:$C,2,FALSE())=0,"",VLOOKUP($A7,Assets!$A:$C,2,FALSE()))</f>
        <v>Data</v>
      </c>
      <c r="C7" s="25" t="str">
        <f>IF(VLOOKUP($A7,Assets!$A:$C,3,FALSE())=0,"",VLOOKUP($A7,Assets!$A:$C,3,FALSE()))</f>
        <v>Client personal information (names, TFNs, addresses)</v>
      </c>
      <c r="D7" s="10">
        <v>1</v>
      </c>
      <c r="E7" s="8" t="str">
        <f>_xlfn.IFNA(VLOOKUP(_xlfn.CONCAT("T",E$1,"V",$D7,"A",$A7),Vulnerabilities!$G:$G,1,FALSE()),"")</f>
        <v>T1V1A2</v>
      </c>
      <c r="F7" s="8" t="str">
        <f>_xlfn.IFNA(VLOOKUP(_xlfn.CONCAT("T",F$1,"V",$D7,"A",$A7),Vulnerabilities!$G:$G,1,FALSE()),"")</f>
        <v/>
      </c>
      <c r="G7" s="8" t="str">
        <f>_xlfn.IFNA(VLOOKUP(_xlfn.CONCAT("T",G$1,"V",$D7,"A",$A7),Vulnerabilities!$G:$G,1,FALSE()),"")</f>
        <v>T3V1A2</v>
      </c>
      <c r="H7" s="8" t="str">
        <f>_xlfn.IFNA(VLOOKUP(_xlfn.CONCAT("T",H$1,"V",$D7,"A",$A7),Vulnerabilities!$G:$G,1,FALSE()),"")</f>
        <v/>
      </c>
      <c r="I7" s="8" t="str">
        <f>_xlfn.IFNA(VLOOKUP(_xlfn.CONCAT("T",I$1,"V",$D7,"A",$A7),Vulnerabilities!$G:$G,1,FALSE()),"")</f>
        <v/>
      </c>
      <c r="J7" s="8" t="str">
        <f>_xlfn.IFNA(VLOOKUP(_xlfn.CONCAT("T",J$1,"V",$D7,"A",$A7),Vulnerabilities!$G:$G,1,FALSE()),"")</f>
        <v/>
      </c>
      <c r="K7" s="8" t="str">
        <f>_xlfn.IFNA(VLOOKUP(_xlfn.CONCAT("T",K$1,"V",$D7,"A",$A7),Vulnerabilities!$G:$G,1,FALSE()),"")</f>
        <v/>
      </c>
      <c r="L7" s="8" t="str">
        <f>_xlfn.IFNA(VLOOKUP(_xlfn.CONCAT("T",L$1,"V",$D7,"A",$A7),Vulnerabilities!$G:$G,1,FALSE()),"")</f>
        <v/>
      </c>
      <c r="M7" s="8" t="str">
        <f>_xlfn.IFNA(VLOOKUP(_xlfn.CONCAT("T",M$1,"V",$D7,"A",$A7),Vulnerabilities!$G:$G,1,FALSE()),"")</f>
        <v/>
      </c>
      <c r="N7" s="8" t="str">
        <f>_xlfn.IFNA(VLOOKUP(_xlfn.CONCAT("T",N$1,"V",$D7,"A",$A7),Vulnerabilities!$G:$G,1,FALSE()),"")</f>
        <v/>
      </c>
      <c r="O7" s="8" t="str">
        <f>_xlfn.IFNA(VLOOKUP(_xlfn.CONCAT("T",O$1,"V",$D7,"A",$A7),Vulnerabilities!$G:$G,1,FALSE()),"")</f>
        <v/>
      </c>
      <c r="P7" s="8" t="str">
        <f>_xlfn.IFNA(VLOOKUP(_xlfn.CONCAT("T",P$1,"V",$D7,"A",$A7),Vulnerabilities!$G:$G,1,FALSE()),"")</f>
        <v/>
      </c>
    </row>
    <row r="8" spans="1:16" x14ac:dyDescent="0.45">
      <c r="A8" s="23">
        <f t="shared" si="0"/>
        <v>2</v>
      </c>
      <c r="B8" s="24" t="str">
        <f>IF(VLOOKUP($A8,Assets!$A:$C,2,FALSE())=0,"",VLOOKUP($A8,Assets!$A:$C,2,FALSE()))</f>
        <v>Data</v>
      </c>
      <c r="C8" s="25" t="str">
        <f>IF(VLOOKUP($A8,Assets!$A:$C,3,FALSE())=0,"",VLOOKUP($A8,Assets!$A:$C,3,FALSE()))</f>
        <v>Client personal information (names, TFNs, addresses)</v>
      </c>
      <c r="D8" s="10">
        <v>2</v>
      </c>
      <c r="E8" s="8" t="str">
        <f>_xlfn.IFNA(VLOOKUP(_xlfn.CONCAT("T",E$1,"V",$D8,"A",$A8),Vulnerabilities!$G:$G,1,FALSE()),"")</f>
        <v/>
      </c>
      <c r="F8" s="8" t="str">
        <f>_xlfn.IFNA(VLOOKUP(_xlfn.CONCAT("T",F$1,"V",$D8,"A",$A8),Vulnerabilities!$G:$G,1,FALSE()),"")</f>
        <v/>
      </c>
      <c r="G8" s="8" t="str">
        <f>_xlfn.IFNA(VLOOKUP(_xlfn.CONCAT("T",G$1,"V",$D8,"A",$A8),Vulnerabilities!$G:$G,1,FALSE()),"")</f>
        <v/>
      </c>
      <c r="H8" s="8" t="str">
        <f>_xlfn.IFNA(VLOOKUP(_xlfn.CONCAT("T",H$1,"V",$D8,"A",$A8),Vulnerabilities!$G:$G,1,FALSE()),"")</f>
        <v/>
      </c>
      <c r="I8" s="8" t="str">
        <f>_xlfn.IFNA(VLOOKUP(_xlfn.CONCAT("T",I$1,"V",$D8,"A",$A8),Vulnerabilities!$G:$G,1,FALSE()),"")</f>
        <v/>
      </c>
      <c r="J8" s="8" t="str">
        <f>_xlfn.IFNA(VLOOKUP(_xlfn.CONCAT("T",J$1,"V",$D8,"A",$A8),Vulnerabilities!$G:$G,1,FALSE()),"")</f>
        <v/>
      </c>
      <c r="K8" s="8" t="str">
        <f>_xlfn.IFNA(VLOOKUP(_xlfn.CONCAT("T",K$1,"V",$D8,"A",$A8),Vulnerabilities!$G:$G,1,FALSE()),"")</f>
        <v/>
      </c>
      <c r="L8" s="8" t="str">
        <f>_xlfn.IFNA(VLOOKUP(_xlfn.CONCAT("T",L$1,"V",$D8,"A",$A8),Vulnerabilities!$G:$G,1,FALSE()),"")</f>
        <v/>
      </c>
      <c r="M8" s="8" t="str">
        <f>_xlfn.IFNA(VLOOKUP(_xlfn.CONCAT("T",M$1,"V",$D8,"A",$A8),Vulnerabilities!$G:$G,1,FALSE()),"")</f>
        <v/>
      </c>
      <c r="N8" s="8" t="str">
        <f>_xlfn.IFNA(VLOOKUP(_xlfn.CONCAT("T",N$1,"V",$D8,"A",$A8),Vulnerabilities!$G:$G,1,FALSE()),"")</f>
        <v/>
      </c>
      <c r="O8" s="8" t="str">
        <f>_xlfn.IFNA(VLOOKUP(_xlfn.CONCAT("T",O$1,"V",$D8,"A",$A8),Vulnerabilities!$G:$G,1,FALSE()),"")</f>
        <v/>
      </c>
      <c r="P8" s="8" t="str">
        <f>_xlfn.IFNA(VLOOKUP(_xlfn.CONCAT("T",P$1,"V",$D8,"A",$A8),Vulnerabilities!$G:$G,1,FALSE()),"")</f>
        <v/>
      </c>
    </row>
    <row r="9" spans="1:16" x14ac:dyDescent="0.45">
      <c r="A9" s="23">
        <f t="shared" si="0"/>
        <v>2</v>
      </c>
      <c r="B9" s="24" t="str">
        <f>IF(VLOOKUP($A9,Assets!$A:$C,2,FALSE())=0,"",VLOOKUP($A9,Assets!$A:$C,2,FALSE()))</f>
        <v>Data</v>
      </c>
      <c r="C9" s="25" t="str">
        <f>IF(VLOOKUP($A9,Assets!$A:$C,3,FALSE())=0,"",VLOOKUP($A9,Assets!$A:$C,3,FALSE()))</f>
        <v>Client personal information (names, TFNs, addresses)</v>
      </c>
      <c r="D9" s="10">
        <v>3</v>
      </c>
      <c r="E9" s="8" t="str">
        <f>_xlfn.IFNA(VLOOKUP(_xlfn.CONCAT("T",E$1,"V",$D9,"A",$A9),Vulnerabilities!$G:$G,1,FALSE()),"")</f>
        <v/>
      </c>
      <c r="F9" s="8" t="str">
        <f>_xlfn.IFNA(VLOOKUP(_xlfn.CONCAT("T",F$1,"V",$D9,"A",$A9),Vulnerabilities!$G:$G,1,FALSE()),"")</f>
        <v/>
      </c>
      <c r="G9" s="8" t="str">
        <f>_xlfn.IFNA(VLOOKUP(_xlfn.CONCAT("T",G$1,"V",$D9,"A",$A9),Vulnerabilities!$G:$G,1,FALSE()),"")</f>
        <v/>
      </c>
      <c r="H9" s="8" t="str">
        <f>_xlfn.IFNA(VLOOKUP(_xlfn.CONCAT("T",H$1,"V",$D9,"A",$A9),Vulnerabilities!$G:$G,1,FALSE()),"")</f>
        <v/>
      </c>
      <c r="I9" s="8" t="str">
        <f>_xlfn.IFNA(VLOOKUP(_xlfn.CONCAT("T",I$1,"V",$D9,"A",$A9),Vulnerabilities!$G:$G,1,FALSE()),"")</f>
        <v/>
      </c>
      <c r="J9" s="8" t="str">
        <f>_xlfn.IFNA(VLOOKUP(_xlfn.CONCAT("T",J$1,"V",$D9,"A",$A9),Vulnerabilities!$G:$G,1,FALSE()),"")</f>
        <v/>
      </c>
      <c r="K9" s="8" t="str">
        <f>_xlfn.IFNA(VLOOKUP(_xlfn.CONCAT("T",K$1,"V",$D9,"A",$A9),Vulnerabilities!$G:$G,1,FALSE()),"")</f>
        <v/>
      </c>
      <c r="L9" s="8" t="str">
        <f>_xlfn.IFNA(VLOOKUP(_xlfn.CONCAT("T",L$1,"V",$D9,"A",$A9),Vulnerabilities!$G:$G,1,FALSE()),"")</f>
        <v/>
      </c>
      <c r="M9" s="8" t="str">
        <f>_xlfn.IFNA(VLOOKUP(_xlfn.CONCAT("T",M$1,"V",$D9,"A",$A9),Vulnerabilities!$G:$G,1,FALSE()),"")</f>
        <v/>
      </c>
      <c r="N9" s="8" t="str">
        <f>_xlfn.IFNA(VLOOKUP(_xlfn.CONCAT("T",N$1,"V",$D9,"A",$A9),Vulnerabilities!$G:$G,1,FALSE()),"")</f>
        <v/>
      </c>
      <c r="O9" s="8" t="str">
        <f>_xlfn.IFNA(VLOOKUP(_xlfn.CONCAT("T",O$1,"V",$D9,"A",$A9),Vulnerabilities!$G:$G,1,FALSE()),"")</f>
        <v/>
      </c>
      <c r="P9" s="8" t="str">
        <f>_xlfn.IFNA(VLOOKUP(_xlfn.CONCAT("T",P$1,"V",$D9,"A",$A9),Vulnerabilities!$G:$G,1,FALSE()),"")</f>
        <v/>
      </c>
    </row>
    <row r="10" spans="1:16" x14ac:dyDescent="0.45">
      <c r="A10" s="23">
        <f t="shared" si="0"/>
        <v>2</v>
      </c>
      <c r="B10" s="24" t="str">
        <f>IF(VLOOKUP($A10,Assets!$A:$C,2,FALSE())=0,"",VLOOKUP($A10,Assets!$A:$C,2,FALSE()))</f>
        <v>Data</v>
      </c>
      <c r="C10" s="25" t="str">
        <f>IF(VLOOKUP($A10,Assets!$A:$C,3,FALSE())=0,"",VLOOKUP($A10,Assets!$A:$C,3,FALSE()))</f>
        <v>Client personal information (names, TFNs, addresses)</v>
      </c>
      <c r="D10" s="10">
        <v>4</v>
      </c>
      <c r="E10" s="8" t="str">
        <f>_xlfn.IFNA(VLOOKUP(_xlfn.CONCAT("T",E$1,"V",$D10,"A",$A10),Vulnerabilities!$G:$G,1,FALSE()),"")</f>
        <v/>
      </c>
      <c r="F10" s="8" t="str">
        <f>_xlfn.IFNA(VLOOKUP(_xlfn.CONCAT("T",F$1,"V",$D10,"A",$A10),Vulnerabilities!$G:$G,1,FALSE()),"")</f>
        <v/>
      </c>
      <c r="G10" s="8" t="str">
        <f>_xlfn.IFNA(VLOOKUP(_xlfn.CONCAT("T",G$1,"V",$D10,"A",$A10),Vulnerabilities!$G:$G,1,FALSE()),"")</f>
        <v/>
      </c>
      <c r="H10" s="8" t="str">
        <f>_xlfn.IFNA(VLOOKUP(_xlfn.CONCAT("T",H$1,"V",$D10,"A",$A10),Vulnerabilities!$G:$G,1,FALSE()),"")</f>
        <v/>
      </c>
      <c r="I10" s="8" t="str">
        <f>_xlfn.IFNA(VLOOKUP(_xlfn.CONCAT("T",I$1,"V",$D10,"A",$A10),Vulnerabilities!$G:$G,1,FALSE()),"")</f>
        <v/>
      </c>
      <c r="J10" s="8" t="str">
        <f>_xlfn.IFNA(VLOOKUP(_xlfn.CONCAT("T",J$1,"V",$D10,"A",$A10),Vulnerabilities!$G:$G,1,FALSE()),"")</f>
        <v/>
      </c>
      <c r="K10" s="8" t="str">
        <f>_xlfn.IFNA(VLOOKUP(_xlfn.CONCAT("T",K$1,"V",$D10,"A",$A10),Vulnerabilities!$G:$G,1,FALSE()),"")</f>
        <v/>
      </c>
      <c r="L10" s="8" t="str">
        <f>_xlfn.IFNA(VLOOKUP(_xlfn.CONCAT("T",L$1,"V",$D10,"A",$A10),Vulnerabilities!$G:$G,1,FALSE()),"")</f>
        <v/>
      </c>
      <c r="M10" s="8" t="str">
        <f>_xlfn.IFNA(VLOOKUP(_xlfn.CONCAT("T",M$1,"V",$D10,"A",$A10),Vulnerabilities!$G:$G,1,FALSE()),"")</f>
        <v/>
      </c>
      <c r="N10" s="8" t="str">
        <f>_xlfn.IFNA(VLOOKUP(_xlfn.CONCAT("T",N$1,"V",$D10,"A",$A10),Vulnerabilities!$G:$G,1,FALSE()),"")</f>
        <v/>
      </c>
      <c r="O10" s="8" t="str">
        <f>_xlfn.IFNA(VLOOKUP(_xlfn.CONCAT("T",O$1,"V",$D10,"A",$A10),Vulnerabilities!$G:$G,1,FALSE()),"")</f>
        <v/>
      </c>
      <c r="P10" s="8" t="str">
        <f>_xlfn.IFNA(VLOOKUP(_xlfn.CONCAT("T",P$1,"V",$D10,"A",$A10),Vulnerabilities!$G:$G,1,FALSE()),"")</f>
        <v/>
      </c>
    </row>
    <row r="11" spans="1:16" x14ac:dyDescent="0.45">
      <c r="A11" s="23">
        <f t="shared" si="0"/>
        <v>3</v>
      </c>
      <c r="B11" s="24" t="str">
        <f>IF(VLOOKUP($A11,Assets!$A:$C,2,FALSE())=0,"",VLOOKUP($A11,Assets!$A:$C,2,FALSE()))</f>
        <v>Data</v>
      </c>
      <c r="C11" s="25" t="str">
        <f>IF(VLOOKUP($A11,Assets!$A:$C,3,FALSE())=0,"",VLOOKUP($A11,Assets!$A:$C,3,FALSE()))</f>
        <v>Business financial data (accounts, payroll, invoices)</v>
      </c>
      <c r="D11" s="10">
        <v>1</v>
      </c>
      <c r="E11" s="8" t="str">
        <f>_xlfn.IFNA(VLOOKUP(_xlfn.CONCAT("T",E$1,"V",$D11,"A",$A11),Vulnerabilities!$G:$G,1,FALSE()),"")</f>
        <v/>
      </c>
      <c r="F11" s="8" t="str">
        <f>_xlfn.IFNA(VLOOKUP(_xlfn.CONCAT("T",F$1,"V",$D11,"A",$A11),Vulnerabilities!$G:$G,1,FALSE()),"")</f>
        <v/>
      </c>
      <c r="G11" s="8" t="str">
        <f>_xlfn.IFNA(VLOOKUP(_xlfn.CONCAT("T",G$1,"V",$D11,"A",$A11),Vulnerabilities!$G:$G,1,FALSE()),"")</f>
        <v/>
      </c>
      <c r="H11" s="8" t="str">
        <f>_xlfn.IFNA(VLOOKUP(_xlfn.CONCAT("T",H$1,"V",$D11,"A",$A11),Vulnerabilities!$G:$G,1,FALSE()),"")</f>
        <v/>
      </c>
      <c r="I11" s="8" t="str">
        <f>_xlfn.IFNA(VLOOKUP(_xlfn.CONCAT("T",I$1,"V",$D11,"A",$A11),Vulnerabilities!$G:$G,1,FALSE()),"")</f>
        <v/>
      </c>
      <c r="J11" s="8" t="str">
        <f>_xlfn.IFNA(VLOOKUP(_xlfn.CONCAT("T",J$1,"V",$D11,"A",$A11),Vulnerabilities!$G:$G,1,FALSE()),"")</f>
        <v/>
      </c>
      <c r="K11" s="8" t="str">
        <f>_xlfn.IFNA(VLOOKUP(_xlfn.CONCAT("T",K$1,"V",$D11,"A",$A11),Vulnerabilities!$G:$G,1,FALSE()),"")</f>
        <v/>
      </c>
      <c r="L11" s="8" t="str">
        <f>_xlfn.IFNA(VLOOKUP(_xlfn.CONCAT("T",L$1,"V",$D11,"A",$A11),Vulnerabilities!$G:$G,1,FALSE()),"")</f>
        <v/>
      </c>
      <c r="M11" s="8" t="str">
        <f>_xlfn.IFNA(VLOOKUP(_xlfn.CONCAT("T",M$1,"V",$D11,"A",$A11),Vulnerabilities!$G:$G,1,FALSE()),"")</f>
        <v/>
      </c>
      <c r="N11" s="8" t="str">
        <f>_xlfn.IFNA(VLOOKUP(_xlfn.CONCAT("T",N$1,"V",$D11,"A",$A11),Vulnerabilities!$G:$G,1,FALSE()),"")</f>
        <v/>
      </c>
      <c r="O11" s="8" t="str">
        <f>_xlfn.IFNA(VLOOKUP(_xlfn.CONCAT("T",O$1,"V",$D11,"A",$A11),Vulnerabilities!$G:$G,1,FALSE()),"")</f>
        <v>T11V1A3</v>
      </c>
      <c r="P11" s="8" t="str">
        <f>_xlfn.IFNA(VLOOKUP(_xlfn.CONCAT("T",P$1,"V",$D11,"A",$A11),Vulnerabilities!$G:$G,1,FALSE()),"")</f>
        <v>T12V1A3</v>
      </c>
    </row>
    <row r="12" spans="1:16" x14ac:dyDescent="0.45">
      <c r="A12" s="23">
        <f t="shared" si="0"/>
        <v>3</v>
      </c>
      <c r="B12" s="24" t="str">
        <f>IF(VLOOKUP($A12,Assets!$A:$C,2,FALSE())=0,"",VLOOKUP($A12,Assets!$A:$C,2,FALSE()))</f>
        <v>Data</v>
      </c>
      <c r="C12" s="25" t="str">
        <f>IF(VLOOKUP($A12,Assets!$A:$C,3,FALSE())=0,"",VLOOKUP($A12,Assets!$A:$C,3,FALSE()))</f>
        <v>Business financial data (accounts, payroll, invoices)</v>
      </c>
      <c r="D12" s="10">
        <v>2</v>
      </c>
      <c r="E12" s="8" t="str">
        <f>_xlfn.IFNA(VLOOKUP(_xlfn.CONCAT("T",E$1,"V",$D12,"A",$A12),Vulnerabilities!$G:$G,1,FALSE()),"")</f>
        <v/>
      </c>
      <c r="F12" s="8" t="str">
        <f>_xlfn.IFNA(VLOOKUP(_xlfn.CONCAT("T",F$1,"V",$D12,"A",$A12),Vulnerabilities!$G:$G,1,FALSE()),"")</f>
        <v/>
      </c>
      <c r="G12" s="8" t="str">
        <f>_xlfn.IFNA(VLOOKUP(_xlfn.CONCAT("T",G$1,"V",$D12,"A",$A12),Vulnerabilities!$G:$G,1,FALSE()),"")</f>
        <v/>
      </c>
      <c r="H12" s="8" t="str">
        <f>_xlfn.IFNA(VLOOKUP(_xlfn.CONCAT("T",H$1,"V",$D12,"A",$A12),Vulnerabilities!$G:$G,1,FALSE()),"")</f>
        <v/>
      </c>
      <c r="I12" s="8" t="str">
        <f>_xlfn.IFNA(VLOOKUP(_xlfn.CONCAT("T",I$1,"V",$D12,"A",$A12),Vulnerabilities!$G:$G,1,FALSE()),"")</f>
        <v/>
      </c>
      <c r="J12" s="8" t="str">
        <f>_xlfn.IFNA(VLOOKUP(_xlfn.CONCAT("T",J$1,"V",$D12,"A",$A12),Vulnerabilities!$G:$G,1,FALSE()),"")</f>
        <v/>
      </c>
      <c r="K12" s="8" t="str">
        <f>_xlfn.IFNA(VLOOKUP(_xlfn.CONCAT("T",K$1,"V",$D12,"A",$A12),Vulnerabilities!$G:$G,1,FALSE()),"")</f>
        <v/>
      </c>
      <c r="L12" s="8" t="str">
        <f>_xlfn.IFNA(VLOOKUP(_xlfn.CONCAT("T",L$1,"V",$D12,"A",$A12),Vulnerabilities!$G:$G,1,FALSE()),"")</f>
        <v/>
      </c>
      <c r="M12" s="8" t="str">
        <f>_xlfn.IFNA(VLOOKUP(_xlfn.CONCAT("T",M$1,"V",$D12,"A",$A12),Vulnerabilities!$G:$G,1,FALSE()),"")</f>
        <v/>
      </c>
      <c r="N12" s="8" t="str">
        <f>_xlfn.IFNA(VLOOKUP(_xlfn.CONCAT("T",N$1,"V",$D12,"A",$A12),Vulnerabilities!$G:$G,1,FALSE()),"")</f>
        <v/>
      </c>
      <c r="O12" s="8" t="str">
        <f>_xlfn.IFNA(VLOOKUP(_xlfn.CONCAT("T",O$1,"V",$D12,"A",$A12),Vulnerabilities!$G:$G,1,FALSE()),"")</f>
        <v/>
      </c>
      <c r="P12" s="8" t="str">
        <f>_xlfn.IFNA(VLOOKUP(_xlfn.CONCAT("T",P$1,"V",$D12,"A",$A12),Vulnerabilities!$G:$G,1,FALSE()),"")</f>
        <v/>
      </c>
    </row>
    <row r="13" spans="1:16" x14ac:dyDescent="0.45">
      <c r="A13" s="23">
        <f t="shared" si="0"/>
        <v>3</v>
      </c>
      <c r="B13" s="24" t="str">
        <f>IF(VLOOKUP($A13,Assets!$A:$C,2,FALSE())=0,"",VLOOKUP($A13,Assets!$A:$C,2,FALSE()))</f>
        <v>Data</v>
      </c>
      <c r="C13" s="25" t="str">
        <f>IF(VLOOKUP($A13,Assets!$A:$C,3,FALSE())=0,"",VLOOKUP($A13,Assets!$A:$C,3,FALSE()))</f>
        <v>Business financial data (accounts, payroll, invoices)</v>
      </c>
      <c r="D13" s="10">
        <v>3</v>
      </c>
      <c r="E13" s="8" t="str">
        <f>_xlfn.IFNA(VLOOKUP(_xlfn.CONCAT("T",E$1,"V",$D13,"A",$A13),Vulnerabilities!$G:$G,1,FALSE()),"")</f>
        <v/>
      </c>
      <c r="F13" s="8" t="str">
        <f>_xlfn.IFNA(VLOOKUP(_xlfn.CONCAT("T",F$1,"V",$D13,"A",$A13),Vulnerabilities!$G:$G,1,FALSE()),"")</f>
        <v/>
      </c>
      <c r="G13" s="8" t="str">
        <f>_xlfn.IFNA(VLOOKUP(_xlfn.CONCAT("T",G$1,"V",$D13,"A",$A13),Vulnerabilities!$G:$G,1,FALSE()),"")</f>
        <v/>
      </c>
      <c r="H13" s="8" t="str">
        <f>_xlfn.IFNA(VLOOKUP(_xlfn.CONCAT("T",H$1,"V",$D13,"A",$A13),Vulnerabilities!$G:$G,1,FALSE()),"")</f>
        <v/>
      </c>
      <c r="I13" s="8" t="str">
        <f>_xlfn.IFNA(VLOOKUP(_xlfn.CONCAT("T",I$1,"V",$D13,"A",$A13),Vulnerabilities!$G:$G,1,FALSE()),"")</f>
        <v/>
      </c>
      <c r="J13" s="8" t="str">
        <f>_xlfn.IFNA(VLOOKUP(_xlfn.CONCAT("T",J$1,"V",$D13,"A",$A13),Vulnerabilities!$G:$G,1,FALSE()),"")</f>
        <v/>
      </c>
      <c r="K13" s="8" t="str">
        <f>_xlfn.IFNA(VLOOKUP(_xlfn.CONCAT("T",K$1,"V",$D13,"A",$A13),Vulnerabilities!$G:$G,1,FALSE()),"")</f>
        <v/>
      </c>
      <c r="L13" s="8" t="str">
        <f>_xlfn.IFNA(VLOOKUP(_xlfn.CONCAT("T",L$1,"V",$D13,"A",$A13),Vulnerabilities!$G:$G,1,FALSE()),"")</f>
        <v/>
      </c>
      <c r="M13" s="8" t="str">
        <f>_xlfn.IFNA(VLOOKUP(_xlfn.CONCAT("T",M$1,"V",$D13,"A",$A13),Vulnerabilities!$G:$G,1,FALSE()),"")</f>
        <v/>
      </c>
      <c r="N13" s="8" t="str">
        <f>_xlfn.IFNA(VLOOKUP(_xlfn.CONCAT("T",N$1,"V",$D13,"A",$A13),Vulnerabilities!$G:$G,1,FALSE()),"")</f>
        <v/>
      </c>
      <c r="O13" s="8" t="str">
        <f>_xlfn.IFNA(VLOOKUP(_xlfn.CONCAT("T",O$1,"V",$D13,"A",$A13),Vulnerabilities!$G:$G,1,FALSE()),"")</f>
        <v/>
      </c>
      <c r="P13" s="8" t="str">
        <f>_xlfn.IFNA(VLOOKUP(_xlfn.CONCAT("T",P$1,"V",$D13,"A",$A13),Vulnerabilities!$G:$G,1,FALSE()),"")</f>
        <v/>
      </c>
    </row>
    <row r="14" spans="1:16" x14ac:dyDescent="0.45">
      <c r="A14" s="23">
        <f t="shared" si="0"/>
        <v>3</v>
      </c>
      <c r="B14" s="24" t="str">
        <f>IF(VLOOKUP($A14,Assets!$A:$C,2,FALSE())=0,"",VLOOKUP($A14,Assets!$A:$C,2,FALSE()))</f>
        <v>Data</v>
      </c>
      <c r="C14" s="25" t="str">
        <f>IF(VLOOKUP($A14,Assets!$A:$C,3,FALSE())=0,"",VLOOKUP($A14,Assets!$A:$C,3,FALSE()))</f>
        <v>Business financial data (accounts, payroll, invoices)</v>
      </c>
      <c r="D14" s="10">
        <v>4</v>
      </c>
      <c r="E14" s="8" t="str">
        <f>_xlfn.IFNA(VLOOKUP(_xlfn.CONCAT("T",E$1,"V",$D14,"A",$A14),Vulnerabilities!$G:$G,1,FALSE()),"")</f>
        <v/>
      </c>
      <c r="F14" s="8" t="str">
        <f>_xlfn.IFNA(VLOOKUP(_xlfn.CONCAT("T",F$1,"V",$D14,"A",$A14),Vulnerabilities!$G:$G,1,FALSE()),"")</f>
        <v/>
      </c>
      <c r="G14" s="8" t="str">
        <f>_xlfn.IFNA(VLOOKUP(_xlfn.CONCAT("T",G$1,"V",$D14,"A",$A14),Vulnerabilities!$G:$G,1,FALSE()),"")</f>
        <v/>
      </c>
      <c r="H14" s="8" t="str">
        <f>_xlfn.IFNA(VLOOKUP(_xlfn.CONCAT("T",H$1,"V",$D14,"A",$A14),Vulnerabilities!$G:$G,1,FALSE()),"")</f>
        <v/>
      </c>
      <c r="I14" s="8" t="str">
        <f>_xlfn.IFNA(VLOOKUP(_xlfn.CONCAT("T",I$1,"V",$D14,"A",$A14),Vulnerabilities!$G:$G,1,FALSE()),"")</f>
        <v/>
      </c>
      <c r="J14" s="8" t="str">
        <f>_xlfn.IFNA(VLOOKUP(_xlfn.CONCAT("T",J$1,"V",$D14,"A",$A14),Vulnerabilities!$G:$G,1,FALSE()),"")</f>
        <v/>
      </c>
      <c r="K14" s="8" t="str">
        <f>_xlfn.IFNA(VLOOKUP(_xlfn.CONCAT("T",K$1,"V",$D14,"A",$A14),Vulnerabilities!$G:$G,1,FALSE()),"")</f>
        <v/>
      </c>
      <c r="L14" s="8" t="str">
        <f>_xlfn.IFNA(VLOOKUP(_xlfn.CONCAT("T",L$1,"V",$D14,"A",$A14),Vulnerabilities!$G:$G,1,FALSE()),"")</f>
        <v/>
      </c>
      <c r="M14" s="8" t="str">
        <f>_xlfn.IFNA(VLOOKUP(_xlfn.CONCAT("T",M$1,"V",$D14,"A",$A14),Vulnerabilities!$G:$G,1,FALSE()),"")</f>
        <v/>
      </c>
      <c r="N14" s="8" t="str">
        <f>_xlfn.IFNA(VLOOKUP(_xlfn.CONCAT("T",N$1,"V",$D14,"A",$A14),Vulnerabilities!$G:$G,1,FALSE()),"")</f>
        <v/>
      </c>
      <c r="O14" s="8" t="str">
        <f>_xlfn.IFNA(VLOOKUP(_xlfn.CONCAT("T",O$1,"V",$D14,"A",$A14),Vulnerabilities!$G:$G,1,FALSE()),"")</f>
        <v/>
      </c>
      <c r="P14" s="8" t="str">
        <f>_xlfn.IFNA(VLOOKUP(_xlfn.CONCAT("T",P$1,"V",$D14,"A",$A14),Vulnerabilities!$G:$G,1,FALSE()),"")</f>
        <v/>
      </c>
    </row>
    <row r="15" spans="1:16" x14ac:dyDescent="0.45">
      <c r="A15" s="23">
        <f t="shared" si="0"/>
        <v>4</v>
      </c>
      <c r="B15" s="24" t="str">
        <f>IF(VLOOKUP($A15,Assets!$A:$C,2,FALSE())=0,"",VLOOKUP($A15,Assets!$A:$C,2,FALSE()))</f>
        <v>Data</v>
      </c>
      <c r="C15" s="25" t="str">
        <f>IF(VLOOKUP($A15,Assets!$A:$C,3,FALSE())=0,"",VLOOKUP($A15,Assets!$A:$C,3,FALSE()))</f>
        <v>Staff credentials and authentication data</v>
      </c>
      <c r="D15" s="10">
        <v>1</v>
      </c>
      <c r="E15" s="8" t="str">
        <f>_xlfn.IFNA(VLOOKUP(_xlfn.CONCAT("T",E$1,"V",$D15,"A",$A15),Vulnerabilities!$G:$G,1,FALSE()),"")</f>
        <v/>
      </c>
      <c r="F15" s="8" t="str">
        <f>_xlfn.IFNA(VLOOKUP(_xlfn.CONCAT("T",F$1,"V",$D15,"A",$A15),Vulnerabilities!$G:$G,1,FALSE()),"")</f>
        <v>T2V1A4</v>
      </c>
      <c r="G15" s="8" t="str">
        <f>_xlfn.IFNA(VLOOKUP(_xlfn.CONCAT("T",G$1,"V",$D15,"A",$A15),Vulnerabilities!$G:$G,1,FALSE()),"")</f>
        <v/>
      </c>
      <c r="H15" s="8" t="str">
        <f>_xlfn.IFNA(VLOOKUP(_xlfn.CONCAT("T",H$1,"V",$D15,"A",$A15),Vulnerabilities!$G:$G,1,FALSE()),"")</f>
        <v>T4V1A4</v>
      </c>
      <c r="I15" s="8" t="str">
        <f>_xlfn.IFNA(VLOOKUP(_xlfn.CONCAT("T",I$1,"V",$D15,"A",$A15),Vulnerabilities!$G:$G,1,FALSE()),"")</f>
        <v/>
      </c>
      <c r="J15" s="8" t="str">
        <f>_xlfn.IFNA(VLOOKUP(_xlfn.CONCAT("T",J$1,"V",$D15,"A",$A15),Vulnerabilities!$G:$G,1,FALSE()),"")</f>
        <v/>
      </c>
      <c r="K15" s="8" t="str">
        <f>_xlfn.IFNA(VLOOKUP(_xlfn.CONCAT("T",K$1,"V",$D15,"A",$A15),Vulnerabilities!$G:$G,1,FALSE()),"")</f>
        <v/>
      </c>
      <c r="L15" s="8" t="str">
        <f>_xlfn.IFNA(VLOOKUP(_xlfn.CONCAT("T",L$1,"V",$D15,"A",$A15),Vulnerabilities!$G:$G,1,FALSE()),"")</f>
        <v/>
      </c>
      <c r="M15" s="8" t="str">
        <f>_xlfn.IFNA(VLOOKUP(_xlfn.CONCAT("T",M$1,"V",$D15,"A",$A15),Vulnerabilities!$G:$G,1,FALSE()),"")</f>
        <v/>
      </c>
      <c r="N15" s="8" t="str">
        <f>_xlfn.IFNA(VLOOKUP(_xlfn.CONCAT("T",N$1,"V",$D15,"A",$A15),Vulnerabilities!$G:$G,1,FALSE()),"")</f>
        <v/>
      </c>
      <c r="O15" s="8" t="str">
        <f>_xlfn.IFNA(VLOOKUP(_xlfn.CONCAT("T",O$1,"V",$D15,"A",$A15),Vulnerabilities!$G:$G,1,FALSE()),"")</f>
        <v/>
      </c>
      <c r="P15" s="8" t="str">
        <f>_xlfn.IFNA(VLOOKUP(_xlfn.CONCAT("T",P$1,"V",$D15,"A",$A15),Vulnerabilities!$G:$G,1,FALSE()),"")</f>
        <v/>
      </c>
    </row>
    <row r="16" spans="1:16" x14ac:dyDescent="0.45">
      <c r="A16" s="23">
        <f t="shared" si="0"/>
        <v>4</v>
      </c>
      <c r="B16" s="24" t="str">
        <f>IF(VLOOKUP($A16,Assets!$A:$C,2,FALSE())=0,"",VLOOKUP($A16,Assets!$A:$C,2,FALSE()))</f>
        <v>Data</v>
      </c>
      <c r="C16" s="25" t="str">
        <f>IF(VLOOKUP($A16,Assets!$A:$C,3,FALSE())=0,"",VLOOKUP($A16,Assets!$A:$C,3,FALSE()))</f>
        <v>Staff credentials and authentication data</v>
      </c>
      <c r="D16" s="10">
        <v>2</v>
      </c>
      <c r="E16" s="8" t="str">
        <f>_xlfn.IFNA(VLOOKUP(_xlfn.CONCAT("T",E$1,"V",$D16,"A",$A16),Vulnerabilities!$G:$G,1,FALSE()),"")</f>
        <v/>
      </c>
      <c r="F16" s="8" t="str">
        <f>_xlfn.IFNA(VLOOKUP(_xlfn.CONCAT("T",F$1,"V",$D16,"A",$A16),Vulnerabilities!$G:$G,1,FALSE()),"")</f>
        <v/>
      </c>
      <c r="G16" s="8" t="str">
        <f>_xlfn.IFNA(VLOOKUP(_xlfn.CONCAT("T",G$1,"V",$D16,"A",$A16),Vulnerabilities!$G:$G,1,FALSE()),"")</f>
        <v/>
      </c>
      <c r="H16" s="8" t="str">
        <f>_xlfn.IFNA(VLOOKUP(_xlfn.CONCAT("T",H$1,"V",$D16,"A",$A16),Vulnerabilities!$G:$G,1,FALSE()),"")</f>
        <v/>
      </c>
      <c r="I16" s="8" t="str">
        <f>_xlfn.IFNA(VLOOKUP(_xlfn.CONCAT("T",I$1,"V",$D16,"A",$A16),Vulnerabilities!$G:$G,1,FALSE()),"")</f>
        <v/>
      </c>
      <c r="J16" s="8" t="str">
        <f>_xlfn.IFNA(VLOOKUP(_xlfn.CONCAT("T",J$1,"V",$D16,"A",$A16),Vulnerabilities!$G:$G,1,FALSE()),"")</f>
        <v/>
      </c>
      <c r="K16" s="8" t="str">
        <f>_xlfn.IFNA(VLOOKUP(_xlfn.CONCAT("T",K$1,"V",$D16,"A",$A16),Vulnerabilities!$G:$G,1,FALSE()),"")</f>
        <v/>
      </c>
      <c r="L16" s="8" t="str">
        <f>_xlfn.IFNA(VLOOKUP(_xlfn.CONCAT("T",L$1,"V",$D16,"A",$A16),Vulnerabilities!$G:$G,1,FALSE()),"")</f>
        <v/>
      </c>
      <c r="M16" s="8" t="str">
        <f>_xlfn.IFNA(VLOOKUP(_xlfn.CONCAT("T",M$1,"V",$D16,"A",$A16),Vulnerabilities!$G:$G,1,FALSE()),"")</f>
        <v/>
      </c>
      <c r="N16" s="8" t="str">
        <f>_xlfn.IFNA(VLOOKUP(_xlfn.CONCAT("T",N$1,"V",$D16,"A",$A16),Vulnerabilities!$G:$G,1,FALSE()),"")</f>
        <v/>
      </c>
      <c r="O16" s="8" t="str">
        <f>_xlfn.IFNA(VLOOKUP(_xlfn.CONCAT("T",O$1,"V",$D16,"A",$A16),Vulnerabilities!$G:$G,1,FALSE()),"")</f>
        <v/>
      </c>
      <c r="P16" s="8" t="str">
        <f>_xlfn.IFNA(VLOOKUP(_xlfn.CONCAT("T",P$1,"V",$D16,"A",$A16),Vulnerabilities!$G:$G,1,FALSE()),"")</f>
        <v/>
      </c>
    </row>
    <row r="17" spans="1:16" x14ac:dyDescent="0.45">
      <c r="A17" s="23">
        <f t="shared" si="0"/>
        <v>4</v>
      </c>
      <c r="B17" s="24" t="str">
        <f>IF(VLOOKUP($A17,Assets!$A:$C,2,FALSE())=0,"",VLOOKUP($A17,Assets!$A:$C,2,FALSE()))</f>
        <v>Data</v>
      </c>
      <c r="C17" s="25" t="str">
        <f>IF(VLOOKUP($A17,Assets!$A:$C,3,FALSE())=0,"",VLOOKUP($A17,Assets!$A:$C,3,FALSE()))</f>
        <v>Staff credentials and authentication data</v>
      </c>
      <c r="D17" s="10">
        <v>3</v>
      </c>
      <c r="E17" s="8" t="str">
        <f>_xlfn.IFNA(VLOOKUP(_xlfn.CONCAT("T",E$1,"V",$D17,"A",$A17),Vulnerabilities!$G:$G,1,FALSE()),"")</f>
        <v/>
      </c>
      <c r="F17" s="8" t="str">
        <f>_xlfn.IFNA(VLOOKUP(_xlfn.CONCAT("T",F$1,"V",$D17,"A",$A17),Vulnerabilities!$G:$G,1,FALSE()),"")</f>
        <v/>
      </c>
      <c r="G17" s="8" t="str">
        <f>_xlfn.IFNA(VLOOKUP(_xlfn.CONCAT("T",G$1,"V",$D17,"A",$A17),Vulnerabilities!$G:$G,1,FALSE()),"")</f>
        <v/>
      </c>
      <c r="H17" s="8" t="str">
        <f>_xlfn.IFNA(VLOOKUP(_xlfn.CONCAT("T",H$1,"V",$D17,"A",$A17),Vulnerabilities!$G:$G,1,FALSE()),"")</f>
        <v/>
      </c>
      <c r="I17" s="8" t="str">
        <f>_xlfn.IFNA(VLOOKUP(_xlfn.CONCAT("T",I$1,"V",$D17,"A",$A17),Vulnerabilities!$G:$G,1,FALSE()),"")</f>
        <v/>
      </c>
      <c r="J17" s="8" t="str">
        <f>_xlfn.IFNA(VLOOKUP(_xlfn.CONCAT("T",J$1,"V",$D17,"A",$A17),Vulnerabilities!$G:$G,1,FALSE()),"")</f>
        <v/>
      </c>
      <c r="K17" s="8" t="str">
        <f>_xlfn.IFNA(VLOOKUP(_xlfn.CONCAT("T",K$1,"V",$D17,"A",$A17),Vulnerabilities!$G:$G,1,FALSE()),"")</f>
        <v/>
      </c>
      <c r="L17" s="8" t="str">
        <f>_xlfn.IFNA(VLOOKUP(_xlfn.CONCAT("T",L$1,"V",$D17,"A",$A17),Vulnerabilities!$G:$G,1,FALSE()),"")</f>
        <v/>
      </c>
      <c r="M17" s="8" t="str">
        <f>_xlfn.IFNA(VLOOKUP(_xlfn.CONCAT("T",M$1,"V",$D17,"A",$A17),Vulnerabilities!$G:$G,1,FALSE()),"")</f>
        <v/>
      </c>
      <c r="N17" s="8" t="str">
        <f>_xlfn.IFNA(VLOOKUP(_xlfn.CONCAT("T",N$1,"V",$D17,"A",$A17),Vulnerabilities!$G:$G,1,FALSE()),"")</f>
        <v/>
      </c>
      <c r="O17" s="8" t="str">
        <f>_xlfn.IFNA(VLOOKUP(_xlfn.CONCAT("T",O$1,"V",$D17,"A",$A17),Vulnerabilities!$G:$G,1,FALSE()),"")</f>
        <v/>
      </c>
      <c r="P17" s="8" t="str">
        <f>_xlfn.IFNA(VLOOKUP(_xlfn.CONCAT("T",P$1,"V",$D17,"A",$A17),Vulnerabilities!$G:$G,1,FALSE()),"")</f>
        <v/>
      </c>
    </row>
    <row r="18" spans="1:16" x14ac:dyDescent="0.45">
      <c r="A18" s="23">
        <f t="shared" si="0"/>
        <v>4</v>
      </c>
      <c r="B18" s="24" t="str">
        <f>IF(VLOOKUP($A18,Assets!$A:$C,2,FALSE())=0,"",VLOOKUP($A18,Assets!$A:$C,2,FALSE()))</f>
        <v>Data</v>
      </c>
      <c r="C18" s="25" t="str">
        <f>IF(VLOOKUP($A18,Assets!$A:$C,3,FALSE())=0,"",VLOOKUP($A18,Assets!$A:$C,3,FALSE()))</f>
        <v>Staff credentials and authentication data</v>
      </c>
      <c r="D18" s="10">
        <v>4</v>
      </c>
      <c r="E18" s="8" t="str">
        <f>_xlfn.IFNA(VLOOKUP(_xlfn.CONCAT("T",E$1,"V",$D18,"A",$A18),Vulnerabilities!$G:$G,1,FALSE()),"")</f>
        <v/>
      </c>
      <c r="F18" s="8" t="str">
        <f>_xlfn.IFNA(VLOOKUP(_xlfn.CONCAT("T",F$1,"V",$D18,"A",$A18),Vulnerabilities!$G:$G,1,FALSE()),"")</f>
        <v/>
      </c>
      <c r="G18" s="8" t="str">
        <f>_xlfn.IFNA(VLOOKUP(_xlfn.CONCAT("T",G$1,"V",$D18,"A",$A18),Vulnerabilities!$G:$G,1,FALSE()),"")</f>
        <v/>
      </c>
      <c r="H18" s="8" t="str">
        <f>_xlfn.IFNA(VLOOKUP(_xlfn.CONCAT("T",H$1,"V",$D18,"A",$A18),Vulnerabilities!$G:$G,1,FALSE()),"")</f>
        <v/>
      </c>
      <c r="I18" s="8" t="str">
        <f>_xlfn.IFNA(VLOOKUP(_xlfn.CONCAT("T",I$1,"V",$D18,"A",$A18),Vulnerabilities!$G:$G,1,FALSE()),"")</f>
        <v/>
      </c>
      <c r="J18" s="8" t="str">
        <f>_xlfn.IFNA(VLOOKUP(_xlfn.CONCAT("T",J$1,"V",$D18,"A",$A18),Vulnerabilities!$G:$G,1,FALSE()),"")</f>
        <v/>
      </c>
      <c r="K18" s="8" t="str">
        <f>_xlfn.IFNA(VLOOKUP(_xlfn.CONCAT("T",K$1,"V",$D18,"A",$A18),Vulnerabilities!$G:$G,1,FALSE()),"")</f>
        <v/>
      </c>
      <c r="L18" s="8" t="str">
        <f>_xlfn.IFNA(VLOOKUP(_xlfn.CONCAT("T",L$1,"V",$D18,"A",$A18),Vulnerabilities!$G:$G,1,FALSE()),"")</f>
        <v/>
      </c>
      <c r="M18" s="8" t="str">
        <f>_xlfn.IFNA(VLOOKUP(_xlfn.CONCAT("T",M$1,"V",$D18,"A",$A18),Vulnerabilities!$G:$G,1,FALSE()),"")</f>
        <v/>
      </c>
      <c r="N18" s="8" t="str">
        <f>_xlfn.IFNA(VLOOKUP(_xlfn.CONCAT("T",N$1,"V",$D18,"A",$A18),Vulnerabilities!$G:$G,1,FALSE()),"")</f>
        <v/>
      </c>
      <c r="O18" s="8" t="str">
        <f>_xlfn.IFNA(VLOOKUP(_xlfn.CONCAT("T",O$1,"V",$D18,"A",$A18),Vulnerabilities!$G:$G,1,FALSE()),"")</f>
        <v/>
      </c>
      <c r="P18" s="8" t="str">
        <f>_xlfn.IFNA(VLOOKUP(_xlfn.CONCAT("T",P$1,"V",$D18,"A",$A18),Vulnerabilities!$G:$G,1,FALSE()),"")</f>
        <v/>
      </c>
    </row>
    <row r="19" spans="1:16" x14ac:dyDescent="0.45">
      <c r="A19" s="23">
        <f t="shared" si="0"/>
        <v>5</v>
      </c>
      <c r="B19" s="24" t="str">
        <f>IF(VLOOKUP($A19,Assets!$A:$C,2,FALSE())=0,"",VLOOKUP($A19,Assets!$A:$C,2,FALSE()))</f>
        <v>Hardware</v>
      </c>
      <c r="C19" s="25" t="str">
        <f>IF(VLOOKUP($A19,Assets!$A:$C,3,FALSE())=0,"",VLOOKUP($A19,Assets!$A:$C,3,FALSE()))</f>
        <v>OpenWRT router/firewall (primary network device)</v>
      </c>
      <c r="D19" s="10">
        <v>1</v>
      </c>
      <c r="E19" s="8" t="str">
        <f>_xlfn.IFNA(VLOOKUP(_xlfn.CONCAT("T",E$1,"V",$D19,"A",$A19),Vulnerabilities!$G:$G,1,FALSE()),"")</f>
        <v/>
      </c>
      <c r="F19" s="8" t="str">
        <f>_xlfn.IFNA(VLOOKUP(_xlfn.CONCAT("T",F$1,"V",$D19,"A",$A19),Vulnerabilities!$G:$G,1,FALSE()),"")</f>
        <v/>
      </c>
      <c r="G19" s="8" t="str">
        <f>_xlfn.IFNA(VLOOKUP(_xlfn.CONCAT("T",G$1,"V",$D19,"A",$A19),Vulnerabilities!$G:$G,1,FALSE()),"")</f>
        <v/>
      </c>
      <c r="H19" s="8" t="str">
        <f>_xlfn.IFNA(VLOOKUP(_xlfn.CONCAT("T",H$1,"V",$D19,"A",$A19),Vulnerabilities!$G:$G,1,FALSE()),"")</f>
        <v/>
      </c>
      <c r="I19" s="8" t="str">
        <f>_xlfn.IFNA(VLOOKUP(_xlfn.CONCAT("T",I$1,"V",$D19,"A",$A19),Vulnerabilities!$G:$G,1,FALSE()),"")</f>
        <v/>
      </c>
      <c r="J19" s="8" t="str">
        <f>_xlfn.IFNA(VLOOKUP(_xlfn.CONCAT("T",J$1,"V",$D19,"A",$A19),Vulnerabilities!$G:$G,1,FALSE()),"")</f>
        <v/>
      </c>
      <c r="K19" s="8" t="str">
        <f>_xlfn.IFNA(VLOOKUP(_xlfn.CONCAT("T",K$1,"V",$D19,"A",$A19),Vulnerabilities!$G:$G,1,FALSE()),"")</f>
        <v/>
      </c>
      <c r="L19" s="8" t="str">
        <f>_xlfn.IFNA(VLOOKUP(_xlfn.CONCAT("T",L$1,"V",$D19,"A",$A19),Vulnerabilities!$G:$G,1,FALSE()),"")</f>
        <v>T8V1A5</v>
      </c>
      <c r="M19" s="8" t="str">
        <f>_xlfn.IFNA(VLOOKUP(_xlfn.CONCAT("T",M$1,"V",$D19,"A",$A19),Vulnerabilities!$G:$G,1,FALSE()),"")</f>
        <v/>
      </c>
      <c r="N19" s="8" t="str">
        <f>_xlfn.IFNA(VLOOKUP(_xlfn.CONCAT("T",N$1,"V",$D19,"A",$A19),Vulnerabilities!$G:$G,1,FALSE()),"")</f>
        <v/>
      </c>
      <c r="O19" s="8" t="str">
        <f>_xlfn.IFNA(VLOOKUP(_xlfn.CONCAT("T",O$1,"V",$D19,"A",$A19),Vulnerabilities!$G:$G,1,FALSE()),"")</f>
        <v>T11V1A5</v>
      </c>
      <c r="P19" s="8" t="str">
        <f>_xlfn.IFNA(VLOOKUP(_xlfn.CONCAT("T",P$1,"V",$D19,"A",$A19),Vulnerabilities!$G:$G,1,FALSE()),"")</f>
        <v/>
      </c>
    </row>
    <row r="20" spans="1:16" x14ac:dyDescent="0.45">
      <c r="A20" s="23">
        <f t="shared" si="0"/>
        <v>5</v>
      </c>
      <c r="B20" s="24" t="str">
        <f>IF(VLOOKUP($A20,Assets!$A:$C,2,FALSE())=0,"",VLOOKUP($A20,Assets!$A:$C,2,FALSE()))</f>
        <v>Hardware</v>
      </c>
      <c r="C20" s="25" t="str">
        <f>IF(VLOOKUP($A20,Assets!$A:$C,3,FALSE())=0,"",VLOOKUP($A20,Assets!$A:$C,3,FALSE()))</f>
        <v>OpenWRT router/firewall (primary network device)</v>
      </c>
      <c r="D20" s="10">
        <v>2</v>
      </c>
      <c r="E20" s="8" t="str">
        <f>_xlfn.IFNA(VLOOKUP(_xlfn.CONCAT("T",E$1,"V",$D20,"A",$A20),Vulnerabilities!$G:$G,1,FALSE()),"")</f>
        <v/>
      </c>
      <c r="F20" s="8" t="str">
        <f>_xlfn.IFNA(VLOOKUP(_xlfn.CONCAT("T",F$1,"V",$D20,"A",$A20),Vulnerabilities!$G:$G,1,FALSE()),"")</f>
        <v/>
      </c>
      <c r="G20" s="8" t="str">
        <f>_xlfn.IFNA(VLOOKUP(_xlfn.CONCAT("T",G$1,"V",$D20,"A",$A20),Vulnerabilities!$G:$G,1,FALSE()),"")</f>
        <v/>
      </c>
      <c r="H20" s="8" t="str">
        <f>_xlfn.IFNA(VLOOKUP(_xlfn.CONCAT("T",H$1,"V",$D20,"A",$A20),Vulnerabilities!$G:$G,1,FALSE()),"")</f>
        <v/>
      </c>
      <c r="I20" s="8" t="str">
        <f>_xlfn.IFNA(VLOOKUP(_xlfn.CONCAT("T",I$1,"V",$D20,"A",$A20),Vulnerabilities!$G:$G,1,FALSE()),"")</f>
        <v/>
      </c>
      <c r="J20" s="8" t="str">
        <f>_xlfn.IFNA(VLOOKUP(_xlfn.CONCAT("T",J$1,"V",$D20,"A",$A20),Vulnerabilities!$G:$G,1,FALSE()),"")</f>
        <v/>
      </c>
      <c r="K20" s="8" t="str">
        <f>_xlfn.IFNA(VLOOKUP(_xlfn.CONCAT("T",K$1,"V",$D20,"A",$A20),Vulnerabilities!$G:$G,1,FALSE()),"")</f>
        <v/>
      </c>
      <c r="L20" s="8" t="str">
        <f>_xlfn.IFNA(VLOOKUP(_xlfn.CONCAT("T",L$1,"V",$D20,"A",$A20),Vulnerabilities!$G:$G,1,FALSE()),"")</f>
        <v/>
      </c>
      <c r="M20" s="8" t="str">
        <f>_xlfn.IFNA(VLOOKUP(_xlfn.CONCAT("T",M$1,"V",$D20,"A",$A20),Vulnerabilities!$G:$G,1,FALSE()),"")</f>
        <v/>
      </c>
      <c r="N20" s="8" t="str">
        <f>_xlfn.IFNA(VLOOKUP(_xlfn.CONCAT("T",N$1,"V",$D20,"A",$A20),Vulnerabilities!$G:$G,1,FALSE()),"")</f>
        <v/>
      </c>
      <c r="O20" s="8" t="str">
        <f>_xlfn.IFNA(VLOOKUP(_xlfn.CONCAT("T",O$1,"V",$D20,"A",$A20),Vulnerabilities!$G:$G,1,FALSE()),"")</f>
        <v/>
      </c>
      <c r="P20" s="8" t="str">
        <f>_xlfn.IFNA(VLOOKUP(_xlfn.CONCAT("T",P$1,"V",$D20,"A",$A20),Vulnerabilities!$G:$G,1,FALSE()),"")</f>
        <v/>
      </c>
    </row>
    <row r="21" spans="1:16" x14ac:dyDescent="0.45">
      <c r="A21" s="23">
        <f t="shared" si="0"/>
        <v>5</v>
      </c>
      <c r="B21" s="24" t="str">
        <f>IF(VLOOKUP($A21,Assets!$A:$C,2,FALSE())=0,"",VLOOKUP($A21,Assets!$A:$C,2,FALSE()))</f>
        <v>Hardware</v>
      </c>
      <c r="C21" s="25" t="str">
        <f>IF(VLOOKUP($A21,Assets!$A:$C,3,FALSE())=0,"",VLOOKUP($A21,Assets!$A:$C,3,FALSE()))</f>
        <v>OpenWRT router/firewall (primary network device)</v>
      </c>
      <c r="D21" s="10">
        <v>3</v>
      </c>
      <c r="E21" s="8" t="str">
        <f>_xlfn.IFNA(VLOOKUP(_xlfn.CONCAT("T",E$1,"V",$D21,"A",$A21),Vulnerabilities!$G:$G,1,FALSE()),"")</f>
        <v/>
      </c>
      <c r="F21" s="8" t="str">
        <f>_xlfn.IFNA(VLOOKUP(_xlfn.CONCAT("T",F$1,"V",$D21,"A",$A21),Vulnerabilities!$G:$G,1,FALSE()),"")</f>
        <v/>
      </c>
      <c r="G21" s="8" t="str">
        <f>_xlfn.IFNA(VLOOKUP(_xlfn.CONCAT("T",G$1,"V",$D21,"A",$A21),Vulnerabilities!$G:$G,1,FALSE()),"")</f>
        <v/>
      </c>
      <c r="H21" s="8" t="str">
        <f>_xlfn.IFNA(VLOOKUP(_xlfn.CONCAT("T",H$1,"V",$D21,"A",$A21),Vulnerabilities!$G:$G,1,FALSE()),"")</f>
        <v/>
      </c>
      <c r="I21" s="8" t="str">
        <f>_xlfn.IFNA(VLOOKUP(_xlfn.CONCAT("T",I$1,"V",$D21,"A",$A21),Vulnerabilities!$G:$G,1,FALSE()),"")</f>
        <v/>
      </c>
      <c r="J21" s="8" t="str">
        <f>_xlfn.IFNA(VLOOKUP(_xlfn.CONCAT("T",J$1,"V",$D21,"A",$A21),Vulnerabilities!$G:$G,1,FALSE()),"")</f>
        <v/>
      </c>
      <c r="K21" s="8" t="str">
        <f>_xlfn.IFNA(VLOOKUP(_xlfn.CONCAT("T",K$1,"V",$D21,"A",$A21),Vulnerabilities!$G:$G,1,FALSE()),"")</f>
        <v/>
      </c>
      <c r="L21" s="8" t="str">
        <f>_xlfn.IFNA(VLOOKUP(_xlfn.CONCAT("T",L$1,"V",$D21,"A",$A21),Vulnerabilities!$G:$G,1,FALSE()),"")</f>
        <v/>
      </c>
      <c r="M21" s="8" t="str">
        <f>_xlfn.IFNA(VLOOKUP(_xlfn.CONCAT("T",M$1,"V",$D21,"A",$A21),Vulnerabilities!$G:$G,1,FALSE()),"")</f>
        <v/>
      </c>
      <c r="N21" s="8" t="str">
        <f>_xlfn.IFNA(VLOOKUP(_xlfn.CONCAT("T",N$1,"V",$D21,"A",$A21),Vulnerabilities!$G:$G,1,FALSE()),"")</f>
        <v/>
      </c>
      <c r="O21" s="8" t="str">
        <f>_xlfn.IFNA(VLOOKUP(_xlfn.CONCAT("T",O$1,"V",$D21,"A",$A21),Vulnerabilities!$G:$G,1,FALSE()),"")</f>
        <v/>
      </c>
      <c r="P21" s="8" t="str">
        <f>_xlfn.IFNA(VLOOKUP(_xlfn.CONCAT("T",P$1,"V",$D21,"A",$A21),Vulnerabilities!$G:$G,1,FALSE()),"")</f>
        <v/>
      </c>
    </row>
    <row r="22" spans="1:16" x14ac:dyDescent="0.45">
      <c r="A22" s="23">
        <f t="shared" si="0"/>
        <v>5</v>
      </c>
      <c r="B22" s="24" t="str">
        <f>IF(VLOOKUP($A22,Assets!$A:$C,2,FALSE())=0,"",VLOOKUP($A22,Assets!$A:$C,2,FALSE()))</f>
        <v>Hardware</v>
      </c>
      <c r="C22" s="25" t="str">
        <f>IF(VLOOKUP($A22,Assets!$A:$C,3,FALSE())=0,"",VLOOKUP($A22,Assets!$A:$C,3,FALSE()))</f>
        <v>OpenWRT router/firewall (primary network device)</v>
      </c>
      <c r="D22" s="10">
        <v>4</v>
      </c>
      <c r="E22" s="8" t="str">
        <f>_xlfn.IFNA(VLOOKUP(_xlfn.CONCAT("T",E$1,"V",$D22,"A",$A22),Vulnerabilities!$G:$G,1,FALSE()),"")</f>
        <v/>
      </c>
      <c r="F22" s="8" t="str">
        <f>_xlfn.IFNA(VLOOKUP(_xlfn.CONCAT("T",F$1,"V",$D22,"A",$A22),Vulnerabilities!$G:$G,1,FALSE()),"")</f>
        <v/>
      </c>
      <c r="G22" s="8" t="str">
        <f>_xlfn.IFNA(VLOOKUP(_xlfn.CONCAT("T",G$1,"V",$D22,"A",$A22),Vulnerabilities!$G:$G,1,FALSE()),"")</f>
        <v/>
      </c>
      <c r="H22" s="8" t="str">
        <f>_xlfn.IFNA(VLOOKUP(_xlfn.CONCAT("T",H$1,"V",$D22,"A",$A22),Vulnerabilities!$G:$G,1,FALSE()),"")</f>
        <v/>
      </c>
      <c r="I22" s="8" t="str">
        <f>_xlfn.IFNA(VLOOKUP(_xlfn.CONCAT("T",I$1,"V",$D22,"A",$A22),Vulnerabilities!$G:$G,1,FALSE()),"")</f>
        <v/>
      </c>
      <c r="J22" s="8" t="str">
        <f>_xlfn.IFNA(VLOOKUP(_xlfn.CONCAT("T",J$1,"V",$D22,"A",$A22),Vulnerabilities!$G:$G,1,FALSE()),"")</f>
        <v/>
      </c>
      <c r="K22" s="8" t="str">
        <f>_xlfn.IFNA(VLOOKUP(_xlfn.CONCAT("T",K$1,"V",$D22,"A",$A22),Vulnerabilities!$G:$G,1,FALSE()),"")</f>
        <v/>
      </c>
      <c r="L22" s="8" t="str">
        <f>_xlfn.IFNA(VLOOKUP(_xlfn.CONCAT("T",L$1,"V",$D22,"A",$A22),Vulnerabilities!$G:$G,1,FALSE()),"")</f>
        <v/>
      </c>
      <c r="M22" s="8" t="str">
        <f>_xlfn.IFNA(VLOOKUP(_xlfn.CONCAT("T",M$1,"V",$D22,"A",$A22),Vulnerabilities!$G:$G,1,FALSE()),"")</f>
        <v/>
      </c>
      <c r="N22" s="8" t="str">
        <f>_xlfn.IFNA(VLOOKUP(_xlfn.CONCAT("T",N$1,"V",$D22,"A",$A22),Vulnerabilities!$G:$G,1,FALSE()),"")</f>
        <v/>
      </c>
      <c r="O22" s="8" t="str">
        <f>_xlfn.IFNA(VLOOKUP(_xlfn.CONCAT("T",O$1,"V",$D22,"A",$A22),Vulnerabilities!$G:$G,1,FALSE()),"")</f>
        <v/>
      </c>
      <c r="P22" s="8" t="str">
        <f>_xlfn.IFNA(VLOOKUP(_xlfn.CONCAT("T",P$1,"V",$D22,"A",$A22),Vulnerabilities!$G:$G,1,FALSE()),"")</f>
        <v/>
      </c>
    </row>
    <row r="23" spans="1:16" x14ac:dyDescent="0.45">
      <c r="A23" s="23">
        <f t="shared" si="0"/>
        <v>6</v>
      </c>
      <c r="B23" s="24" t="str">
        <f>IF(VLOOKUP($A23,Assets!$A:$C,2,FALSE())=0,"",VLOOKUP($A23,Assets!$A:$C,2,FALSE()))</f>
        <v>Hardware</v>
      </c>
      <c r="C23" s="25" t="str">
        <f>IF(VLOOKUP($A23,Assets!$A:$C,3,FALSE())=0,"",VLOOKUP($A23,Assets!$A:$C,3,FALSE()))</f>
        <v>Staff Windows workstations (x8)</v>
      </c>
      <c r="D23" s="10">
        <v>1</v>
      </c>
      <c r="E23" s="8" t="str">
        <f>_xlfn.IFNA(VLOOKUP(_xlfn.CONCAT("T",E$1,"V",$D23,"A",$A23),Vulnerabilities!$G:$G,1,FALSE()),"")</f>
        <v>T1V1A6</v>
      </c>
      <c r="F23" s="8" t="str">
        <f>_xlfn.IFNA(VLOOKUP(_xlfn.CONCAT("T",F$1,"V",$D23,"A",$A23),Vulnerabilities!$G:$G,1,FALSE()),"")</f>
        <v/>
      </c>
      <c r="G23" s="8" t="str">
        <f>_xlfn.IFNA(VLOOKUP(_xlfn.CONCAT("T",G$1,"V",$D23,"A",$A23),Vulnerabilities!$G:$G,1,FALSE()),"")</f>
        <v/>
      </c>
      <c r="H23" s="8" t="str">
        <f>_xlfn.IFNA(VLOOKUP(_xlfn.CONCAT("T",H$1,"V",$D23,"A",$A23),Vulnerabilities!$G:$G,1,FALSE()),"")</f>
        <v/>
      </c>
      <c r="I23" s="8" t="str">
        <f>_xlfn.IFNA(VLOOKUP(_xlfn.CONCAT("T",I$1,"V",$D23,"A",$A23),Vulnerabilities!$G:$G,1,FALSE()),"")</f>
        <v>T5V1A6</v>
      </c>
      <c r="J23" s="8" t="str">
        <f>_xlfn.IFNA(VLOOKUP(_xlfn.CONCAT("T",J$1,"V",$D23,"A",$A23),Vulnerabilities!$G:$G,1,FALSE()),"")</f>
        <v/>
      </c>
      <c r="K23" s="8" t="str">
        <f>_xlfn.IFNA(VLOOKUP(_xlfn.CONCAT("T",K$1,"V",$D23,"A",$A23),Vulnerabilities!$G:$G,1,FALSE()),"")</f>
        <v/>
      </c>
      <c r="L23" s="8" t="str">
        <f>_xlfn.IFNA(VLOOKUP(_xlfn.CONCAT("T",L$1,"V",$D23,"A",$A23),Vulnerabilities!$G:$G,1,FALSE()),"")</f>
        <v/>
      </c>
      <c r="M23" s="8" t="str">
        <f>_xlfn.IFNA(VLOOKUP(_xlfn.CONCAT("T",M$1,"V",$D23,"A",$A23),Vulnerabilities!$G:$G,1,FALSE()),"")</f>
        <v/>
      </c>
      <c r="N23" s="8" t="str">
        <f>_xlfn.IFNA(VLOOKUP(_xlfn.CONCAT("T",N$1,"V",$D23,"A",$A23),Vulnerabilities!$G:$G,1,FALSE()),"")</f>
        <v/>
      </c>
      <c r="O23" s="8" t="str">
        <f>_xlfn.IFNA(VLOOKUP(_xlfn.CONCAT("T",O$1,"V",$D23,"A",$A23),Vulnerabilities!$G:$G,1,FALSE()),"")</f>
        <v/>
      </c>
      <c r="P23" s="8" t="str">
        <f>_xlfn.IFNA(VLOOKUP(_xlfn.CONCAT("T",P$1,"V",$D23,"A",$A23),Vulnerabilities!$G:$G,1,FALSE()),"")</f>
        <v/>
      </c>
    </row>
    <row r="24" spans="1:16" x14ac:dyDescent="0.45">
      <c r="A24" s="23">
        <f t="shared" si="0"/>
        <v>6</v>
      </c>
      <c r="B24" s="24" t="str">
        <f>IF(VLOOKUP($A24,Assets!$A:$C,2,FALSE())=0,"",VLOOKUP($A24,Assets!$A:$C,2,FALSE()))</f>
        <v>Hardware</v>
      </c>
      <c r="C24" s="25" t="str">
        <f>IF(VLOOKUP($A24,Assets!$A:$C,3,FALSE())=0,"",VLOOKUP($A24,Assets!$A:$C,3,FALSE()))</f>
        <v>Staff Windows workstations (x8)</v>
      </c>
      <c r="D24" s="10">
        <v>2</v>
      </c>
      <c r="E24" s="8" t="str">
        <f>_xlfn.IFNA(VLOOKUP(_xlfn.CONCAT("T",E$1,"V",$D24,"A",$A24),Vulnerabilities!$G:$G,1,FALSE()),"")</f>
        <v/>
      </c>
      <c r="F24" s="8" t="str">
        <f>_xlfn.IFNA(VLOOKUP(_xlfn.CONCAT("T",F$1,"V",$D24,"A",$A24),Vulnerabilities!$G:$G,1,FALSE()),"")</f>
        <v/>
      </c>
      <c r="G24" s="8" t="str">
        <f>_xlfn.IFNA(VLOOKUP(_xlfn.CONCAT("T",G$1,"V",$D24,"A",$A24),Vulnerabilities!$G:$G,1,FALSE()),"")</f>
        <v/>
      </c>
      <c r="H24" s="8" t="str">
        <f>_xlfn.IFNA(VLOOKUP(_xlfn.CONCAT("T",H$1,"V",$D24,"A",$A24),Vulnerabilities!$G:$G,1,FALSE()),"")</f>
        <v/>
      </c>
      <c r="I24" s="8" t="str">
        <f>_xlfn.IFNA(VLOOKUP(_xlfn.CONCAT("T",I$1,"V",$D24,"A",$A24),Vulnerabilities!$G:$G,1,FALSE()),"")</f>
        <v/>
      </c>
      <c r="J24" s="8" t="str">
        <f>_xlfn.IFNA(VLOOKUP(_xlfn.CONCAT("T",J$1,"V",$D24,"A",$A24),Vulnerabilities!$G:$G,1,FALSE()),"")</f>
        <v/>
      </c>
      <c r="K24" s="8" t="str">
        <f>_xlfn.IFNA(VLOOKUP(_xlfn.CONCAT("T",K$1,"V",$D24,"A",$A24),Vulnerabilities!$G:$G,1,FALSE()),"")</f>
        <v/>
      </c>
      <c r="L24" s="8" t="str">
        <f>_xlfn.IFNA(VLOOKUP(_xlfn.CONCAT("T",L$1,"V",$D24,"A",$A24),Vulnerabilities!$G:$G,1,FALSE()),"")</f>
        <v/>
      </c>
      <c r="M24" s="8" t="str">
        <f>_xlfn.IFNA(VLOOKUP(_xlfn.CONCAT("T",M$1,"V",$D24,"A",$A24),Vulnerabilities!$G:$G,1,FALSE()),"")</f>
        <v/>
      </c>
      <c r="N24" s="8" t="str">
        <f>_xlfn.IFNA(VLOOKUP(_xlfn.CONCAT("T",N$1,"V",$D24,"A",$A24),Vulnerabilities!$G:$G,1,FALSE()),"")</f>
        <v/>
      </c>
      <c r="O24" s="8" t="str">
        <f>_xlfn.IFNA(VLOOKUP(_xlfn.CONCAT("T",O$1,"V",$D24,"A",$A24),Vulnerabilities!$G:$G,1,FALSE()),"")</f>
        <v/>
      </c>
      <c r="P24" s="8" t="str">
        <f>_xlfn.IFNA(VLOOKUP(_xlfn.CONCAT("T",P$1,"V",$D24,"A",$A24),Vulnerabilities!$G:$G,1,FALSE()),"")</f>
        <v/>
      </c>
    </row>
    <row r="25" spans="1:16" x14ac:dyDescent="0.45">
      <c r="A25" s="23">
        <f t="shared" si="0"/>
        <v>6</v>
      </c>
      <c r="B25" s="24" t="str">
        <f>IF(VLOOKUP($A25,Assets!$A:$C,2,FALSE())=0,"",VLOOKUP($A25,Assets!$A:$C,2,FALSE()))</f>
        <v>Hardware</v>
      </c>
      <c r="C25" s="25" t="str">
        <f>IF(VLOOKUP($A25,Assets!$A:$C,3,FALSE())=0,"",VLOOKUP($A25,Assets!$A:$C,3,FALSE()))</f>
        <v>Staff Windows workstations (x8)</v>
      </c>
      <c r="D25" s="10">
        <v>3</v>
      </c>
      <c r="E25" s="8" t="str">
        <f>_xlfn.IFNA(VLOOKUP(_xlfn.CONCAT("T",E$1,"V",$D25,"A",$A25),Vulnerabilities!$G:$G,1,FALSE()),"")</f>
        <v/>
      </c>
      <c r="F25" s="8" t="str">
        <f>_xlfn.IFNA(VLOOKUP(_xlfn.CONCAT("T",F$1,"V",$D25,"A",$A25),Vulnerabilities!$G:$G,1,FALSE()),"")</f>
        <v/>
      </c>
      <c r="G25" s="8" t="str">
        <f>_xlfn.IFNA(VLOOKUP(_xlfn.CONCAT("T",G$1,"V",$D25,"A",$A25),Vulnerabilities!$G:$G,1,FALSE()),"")</f>
        <v/>
      </c>
      <c r="H25" s="8" t="str">
        <f>_xlfn.IFNA(VLOOKUP(_xlfn.CONCAT("T",H$1,"V",$D25,"A",$A25),Vulnerabilities!$G:$G,1,FALSE()),"")</f>
        <v/>
      </c>
      <c r="I25" s="8" t="str">
        <f>_xlfn.IFNA(VLOOKUP(_xlfn.CONCAT("T",I$1,"V",$D25,"A",$A25),Vulnerabilities!$G:$G,1,FALSE()),"")</f>
        <v/>
      </c>
      <c r="J25" s="8" t="str">
        <f>_xlfn.IFNA(VLOOKUP(_xlfn.CONCAT("T",J$1,"V",$D25,"A",$A25),Vulnerabilities!$G:$G,1,FALSE()),"")</f>
        <v/>
      </c>
      <c r="K25" s="8" t="str">
        <f>_xlfn.IFNA(VLOOKUP(_xlfn.CONCAT("T",K$1,"V",$D25,"A",$A25),Vulnerabilities!$G:$G,1,FALSE()),"")</f>
        <v/>
      </c>
      <c r="L25" s="8" t="str">
        <f>_xlfn.IFNA(VLOOKUP(_xlfn.CONCAT("T",L$1,"V",$D25,"A",$A25),Vulnerabilities!$G:$G,1,FALSE()),"")</f>
        <v/>
      </c>
      <c r="M25" s="8" t="str">
        <f>_xlfn.IFNA(VLOOKUP(_xlfn.CONCAT("T",M$1,"V",$D25,"A",$A25),Vulnerabilities!$G:$G,1,FALSE()),"")</f>
        <v/>
      </c>
      <c r="N25" s="8" t="str">
        <f>_xlfn.IFNA(VLOOKUP(_xlfn.CONCAT("T",N$1,"V",$D25,"A",$A25),Vulnerabilities!$G:$G,1,FALSE()),"")</f>
        <v/>
      </c>
      <c r="O25" s="8" t="str">
        <f>_xlfn.IFNA(VLOOKUP(_xlfn.CONCAT("T",O$1,"V",$D25,"A",$A25),Vulnerabilities!$G:$G,1,FALSE()),"")</f>
        <v/>
      </c>
      <c r="P25" s="8" t="str">
        <f>_xlfn.IFNA(VLOOKUP(_xlfn.CONCAT("T",P$1,"V",$D25,"A",$A25),Vulnerabilities!$G:$G,1,FALSE()),"")</f>
        <v/>
      </c>
    </row>
    <row r="26" spans="1:16" x14ac:dyDescent="0.45">
      <c r="A26" s="23">
        <f t="shared" si="0"/>
        <v>6</v>
      </c>
      <c r="B26" s="24" t="str">
        <f>IF(VLOOKUP($A26,Assets!$A:$C,2,FALSE())=0,"",VLOOKUP($A26,Assets!$A:$C,2,FALSE()))</f>
        <v>Hardware</v>
      </c>
      <c r="C26" s="25" t="str">
        <f>IF(VLOOKUP($A26,Assets!$A:$C,3,FALSE())=0,"",VLOOKUP($A26,Assets!$A:$C,3,FALSE()))</f>
        <v>Staff Windows workstations (x8)</v>
      </c>
      <c r="D26" s="10">
        <v>4</v>
      </c>
      <c r="E26" s="8" t="str">
        <f>_xlfn.IFNA(VLOOKUP(_xlfn.CONCAT("T",E$1,"V",$D26,"A",$A26),Vulnerabilities!$G:$G,1,FALSE()),"")</f>
        <v/>
      </c>
      <c r="F26" s="8" t="str">
        <f>_xlfn.IFNA(VLOOKUP(_xlfn.CONCAT("T",F$1,"V",$D26,"A",$A26),Vulnerabilities!$G:$G,1,FALSE()),"")</f>
        <v/>
      </c>
      <c r="G26" s="8" t="str">
        <f>_xlfn.IFNA(VLOOKUP(_xlfn.CONCAT("T",G$1,"V",$D26,"A",$A26),Vulnerabilities!$G:$G,1,FALSE()),"")</f>
        <v/>
      </c>
      <c r="H26" s="8" t="str">
        <f>_xlfn.IFNA(VLOOKUP(_xlfn.CONCAT("T",H$1,"V",$D26,"A",$A26),Vulnerabilities!$G:$G,1,FALSE()),"")</f>
        <v/>
      </c>
      <c r="I26" s="8" t="str">
        <f>_xlfn.IFNA(VLOOKUP(_xlfn.CONCAT("T",I$1,"V",$D26,"A",$A26),Vulnerabilities!$G:$G,1,FALSE()),"")</f>
        <v/>
      </c>
      <c r="J26" s="8" t="str">
        <f>_xlfn.IFNA(VLOOKUP(_xlfn.CONCAT("T",J$1,"V",$D26,"A",$A26),Vulnerabilities!$G:$G,1,FALSE()),"")</f>
        <v/>
      </c>
      <c r="K26" s="8" t="str">
        <f>_xlfn.IFNA(VLOOKUP(_xlfn.CONCAT("T",K$1,"V",$D26,"A",$A26),Vulnerabilities!$G:$G,1,FALSE()),"")</f>
        <v/>
      </c>
      <c r="L26" s="8" t="str">
        <f>_xlfn.IFNA(VLOOKUP(_xlfn.CONCAT("T",L$1,"V",$D26,"A",$A26),Vulnerabilities!$G:$G,1,FALSE()),"")</f>
        <v/>
      </c>
      <c r="M26" s="8" t="str">
        <f>_xlfn.IFNA(VLOOKUP(_xlfn.CONCAT("T",M$1,"V",$D26,"A",$A26),Vulnerabilities!$G:$G,1,FALSE()),"")</f>
        <v/>
      </c>
      <c r="N26" s="8" t="str">
        <f>_xlfn.IFNA(VLOOKUP(_xlfn.CONCAT("T",N$1,"V",$D26,"A",$A26),Vulnerabilities!$G:$G,1,FALSE()),"")</f>
        <v/>
      </c>
      <c r="O26" s="8" t="str">
        <f>_xlfn.IFNA(VLOOKUP(_xlfn.CONCAT("T",O$1,"V",$D26,"A",$A26),Vulnerabilities!$G:$G,1,FALSE()),"")</f>
        <v/>
      </c>
      <c r="P26" s="8" t="str">
        <f>_xlfn.IFNA(VLOOKUP(_xlfn.CONCAT("T",P$1,"V",$D26,"A",$A26),Vulnerabilities!$G:$G,1,FALSE()),"")</f>
        <v/>
      </c>
    </row>
    <row r="27" spans="1:16" x14ac:dyDescent="0.45">
      <c r="A27" s="23">
        <f t="shared" si="0"/>
        <v>7</v>
      </c>
      <c r="B27" s="24" t="str">
        <f>IF(VLOOKUP($A27,Assets!$A:$C,2,FALSE())=0,"",VLOOKUP($A27,Assets!$A:$C,2,FALSE()))</f>
        <v>Hardware</v>
      </c>
      <c r="C27" s="25" t="str">
        <f>IF(VLOOKUP($A27,Assets!$A:$C,3,FALSE())=0,"",VLOOKUP($A27,Assets!$A:$C,3,FALSE()))</f>
        <v>File server (stores client and business records)</v>
      </c>
      <c r="D27" s="10">
        <v>1</v>
      </c>
      <c r="E27" s="8" t="str">
        <f>_xlfn.IFNA(VLOOKUP(_xlfn.CONCAT("T",E$1,"V",$D27,"A",$A27),Vulnerabilities!$G:$G,1,FALSE()),"")</f>
        <v/>
      </c>
      <c r="F27" s="8" t="str">
        <f>_xlfn.IFNA(VLOOKUP(_xlfn.CONCAT("T",F$1,"V",$D27,"A",$A27),Vulnerabilities!$G:$G,1,FALSE()),"")</f>
        <v/>
      </c>
      <c r="G27" s="8" t="str">
        <f>_xlfn.IFNA(VLOOKUP(_xlfn.CONCAT("T",G$1,"V",$D27,"A",$A27),Vulnerabilities!$G:$G,1,FALSE()),"")</f>
        <v/>
      </c>
      <c r="H27" s="8" t="str">
        <f>_xlfn.IFNA(VLOOKUP(_xlfn.CONCAT("T",H$1,"V",$D27,"A",$A27),Vulnerabilities!$G:$G,1,FALSE()),"")</f>
        <v/>
      </c>
      <c r="I27" s="8" t="str">
        <f>_xlfn.IFNA(VLOOKUP(_xlfn.CONCAT("T",I$1,"V",$D27,"A",$A27),Vulnerabilities!$G:$G,1,FALSE()),"")</f>
        <v>T5V1A7</v>
      </c>
      <c r="J27" s="8" t="str">
        <f>_xlfn.IFNA(VLOOKUP(_xlfn.CONCAT("T",J$1,"V",$D27,"A",$A27),Vulnerabilities!$G:$G,1,FALSE()),"")</f>
        <v/>
      </c>
      <c r="K27" s="8" t="str">
        <f>_xlfn.IFNA(VLOOKUP(_xlfn.CONCAT("T",K$1,"V",$D27,"A",$A27),Vulnerabilities!$G:$G,1,FALSE()),"")</f>
        <v/>
      </c>
      <c r="L27" s="8" t="str">
        <f>_xlfn.IFNA(VLOOKUP(_xlfn.CONCAT("T",L$1,"V",$D27,"A",$A27),Vulnerabilities!$G:$G,1,FALSE()),"")</f>
        <v>T8V1A7</v>
      </c>
      <c r="M27" s="8" t="str">
        <f>_xlfn.IFNA(VLOOKUP(_xlfn.CONCAT("T",M$1,"V",$D27,"A",$A27),Vulnerabilities!$G:$G,1,FALSE()),"")</f>
        <v/>
      </c>
      <c r="N27" s="8" t="str">
        <f>_xlfn.IFNA(VLOOKUP(_xlfn.CONCAT("T",N$1,"V",$D27,"A",$A27),Vulnerabilities!$G:$G,1,FALSE()),"")</f>
        <v/>
      </c>
      <c r="O27" s="8" t="str">
        <f>_xlfn.IFNA(VLOOKUP(_xlfn.CONCAT("T",O$1,"V",$D27,"A",$A27),Vulnerabilities!$G:$G,1,FALSE()),"")</f>
        <v/>
      </c>
      <c r="P27" s="8" t="str">
        <f>_xlfn.IFNA(VLOOKUP(_xlfn.CONCAT("T",P$1,"V",$D27,"A",$A27),Vulnerabilities!$G:$G,1,FALSE()),"")</f>
        <v/>
      </c>
    </row>
    <row r="28" spans="1:16" x14ac:dyDescent="0.45">
      <c r="A28" s="23">
        <f t="shared" si="0"/>
        <v>7</v>
      </c>
      <c r="B28" s="24" t="str">
        <f>IF(VLOOKUP($A28,Assets!$A:$C,2,FALSE())=0,"",VLOOKUP($A28,Assets!$A:$C,2,FALSE()))</f>
        <v>Hardware</v>
      </c>
      <c r="C28" s="25" t="str">
        <f>IF(VLOOKUP($A28,Assets!$A:$C,3,FALSE())=0,"",VLOOKUP($A28,Assets!$A:$C,3,FALSE()))</f>
        <v>File server (stores client and business records)</v>
      </c>
      <c r="D28" s="10">
        <v>2</v>
      </c>
      <c r="E28" s="8" t="str">
        <f>_xlfn.IFNA(VLOOKUP(_xlfn.CONCAT("T",E$1,"V",$D28,"A",$A28),Vulnerabilities!$G:$G,1,FALSE()),"")</f>
        <v/>
      </c>
      <c r="F28" s="8" t="str">
        <f>_xlfn.IFNA(VLOOKUP(_xlfn.CONCAT("T",F$1,"V",$D28,"A",$A28),Vulnerabilities!$G:$G,1,FALSE()),"")</f>
        <v/>
      </c>
      <c r="G28" s="8" t="str">
        <f>_xlfn.IFNA(VLOOKUP(_xlfn.CONCAT("T",G$1,"V",$D28,"A",$A28),Vulnerabilities!$G:$G,1,FALSE()),"")</f>
        <v/>
      </c>
      <c r="H28" s="8" t="str">
        <f>_xlfn.IFNA(VLOOKUP(_xlfn.CONCAT("T",H$1,"V",$D28,"A",$A28),Vulnerabilities!$G:$G,1,FALSE()),"")</f>
        <v/>
      </c>
      <c r="I28" s="8" t="str">
        <f>_xlfn.IFNA(VLOOKUP(_xlfn.CONCAT("T",I$1,"V",$D28,"A",$A28),Vulnerabilities!$G:$G,1,FALSE()),"")</f>
        <v/>
      </c>
      <c r="J28" s="8" t="str">
        <f>_xlfn.IFNA(VLOOKUP(_xlfn.CONCAT("T",J$1,"V",$D28,"A",$A28),Vulnerabilities!$G:$G,1,FALSE()),"")</f>
        <v/>
      </c>
      <c r="K28" s="8" t="str">
        <f>_xlfn.IFNA(VLOOKUP(_xlfn.CONCAT("T",K$1,"V",$D28,"A",$A28),Vulnerabilities!$G:$G,1,FALSE()),"")</f>
        <v/>
      </c>
      <c r="L28" s="8" t="str">
        <f>_xlfn.IFNA(VLOOKUP(_xlfn.CONCAT("T",L$1,"V",$D28,"A",$A28),Vulnerabilities!$G:$G,1,FALSE()),"")</f>
        <v/>
      </c>
      <c r="M28" s="8" t="str">
        <f>_xlfn.IFNA(VLOOKUP(_xlfn.CONCAT("T",M$1,"V",$D28,"A",$A28),Vulnerabilities!$G:$G,1,FALSE()),"")</f>
        <v/>
      </c>
      <c r="N28" s="8" t="str">
        <f>_xlfn.IFNA(VLOOKUP(_xlfn.CONCAT("T",N$1,"V",$D28,"A",$A28),Vulnerabilities!$G:$G,1,FALSE()),"")</f>
        <v/>
      </c>
      <c r="O28" s="8" t="str">
        <f>_xlfn.IFNA(VLOOKUP(_xlfn.CONCAT("T",O$1,"V",$D28,"A",$A28),Vulnerabilities!$G:$G,1,FALSE()),"")</f>
        <v/>
      </c>
      <c r="P28" s="8" t="str">
        <f>_xlfn.IFNA(VLOOKUP(_xlfn.CONCAT("T",P$1,"V",$D28,"A",$A28),Vulnerabilities!$G:$G,1,FALSE()),"")</f>
        <v/>
      </c>
    </row>
    <row r="29" spans="1:16" x14ac:dyDescent="0.45">
      <c r="A29" s="23">
        <f t="shared" si="0"/>
        <v>7</v>
      </c>
      <c r="B29" s="24" t="str">
        <f>IF(VLOOKUP($A29,Assets!$A:$C,2,FALSE())=0,"",VLOOKUP($A29,Assets!$A:$C,2,FALSE()))</f>
        <v>Hardware</v>
      </c>
      <c r="C29" s="25" t="str">
        <f>IF(VLOOKUP($A29,Assets!$A:$C,3,FALSE())=0,"",VLOOKUP($A29,Assets!$A:$C,3,FALSE()))</f>
        <v>File server (stores client and business records)</v>
      </c>
      <c r="D29" s="10">
        <v>3</v>
      </c>
      <c r="E29" s="8" t="str">
        <f>_xlfn.IFNA(VLOOKUP(_xlfn.CONCAT("T",E$1,"V",$D29,"A",$A29),Vulnerabilities!$G:$G,1,FALSE()),"")</f>
        <v/>
      </c>
      <c r="F29" s="8" t="str">
        <f>_xlfn.IFNA(VLOOKUP(_xlfn.CONCAT("T",F$1,"V",$D29,"A",$A29),Vulnerabilities!$G:$G,1,FALSE()),"")</f>
        <v/>
      </c>
      <c r="G29" s="8" t="str">
        <f>_xlfn.IFNA(VLOOKUP(_xlfn.CONCAT("T",G$1,"V",$D29,"A",$A29),Vulnerabilities!$G:$G,1,FALSE()),"")</f>
        <v/>
      </c>
      <c r="H29" s="8" t="str">
        <f>_xlfn.IFNA(VLOOKUP(_xlfn.CONCAT("T",H$1,"V",$D29,"A",$A29),Vulnerabilities!$G:$G,1,FALSE()),"")</f>
        <v/>
      </c>
      <c r="I29" s="8" t="str">
        <f>_xlfn.IFNA(VLOOKUP(_xlfn.CONCAT("T",I$1,"V",$D29,"A",$A29),Vulnerabilities!$G:$G,1,FALSE()),"")</f>
        <v/>
      </c>
      <c r="J29" s="8" t="str">
        <f>_xlfn.IFNA(VLOOKUP(_xlfn.CONCAT("T",J$1,"V",$D29,"A",$A29),Vulnerabilities!$G:$G,1,FALSE()),"")</f>
        <v/>
      </c>
      <c r="K29" s="8" t="str">
        <f>_xlfn.IFNA(VLOOKUP(_xlfn.CONCAT("T",K$1,"V",$D29,"A",$A29),Vulnerabilities!$G:$G,1,FALSE()),"")</f>
        <v/>
      </c>
      <c r="L29" s="8" t="str">
        <f>_xlfn.IFNA(VLOOKUP(_xlfn.CONCAT("T",L$1,"V",$D29,"A",$A29),Vulnerabilities!$G:$G,1,FALSE()),"")</f>
        <v/>
      </c>
      <c r="M29" s="8" t="str">
        <f>_xlfn.IFNA(VLOOKUP(_xlfn.CONCAT("T",M$1,"V",$D29,"A",$A29),Vulnerabilities!$G:$G,1,FALSE()),"")</f>
        <v/>
      </c>
      <c r="N29" s="8" t="str">
        <f>_xlfn.IFNA(VLOOKUP(_xlfn.CONCAT("T",N$1,"V",$D29,"A",$A29),Vulnerabilities!$G:$G,1,FALSE()),"")</f>
        <v/>
      </c>
      <c r="O29" s="8" t="str">
        <f>_xlfn.IFNA(VLOOKUP(_xlfn.CONCAT("T",O$1,"V",$D29,"A",$A29),Vulnerabilities!$G:$G,1,FALSE()),"")</f>
        <v/>
      </c>
      <c r="P29" s="8" t="str">
        <f>_xlfn.IFNA(VLOOKUP(_xlfn.CONCAT("T",P$1,"V",$D29,"A",$A29),Vulnerabilities!$G:$G,1,FALSE()),"")</f>
        <v/>
      </c>
    </row>
    <row r="30" spans="1:16" x14ac:dyDescent="0.45">
      <c r="A30" s="23">
        <f t="shared" si="0"/>
        <v>7</v>
      </c>
      <c r="B30" s="24" t="str">
        <f>IF(VLOOKUP($A30,Assets!$A:$C,2,FALSE())=0,"",VLOOKUP($A30,Assets!$A:$C,2,FALSE()))</f>
        <v>Hardware</v>
      </c>
      <c r="C30" s="25" t="str">
        <f>IF(VLOOKUP($A30,Assets!$A:$C,3,FALSE())=0,"",VLOOKUP($A30,Assets!$A:$C,3,FALSE()))</f>
        <v>File server (stores client and business records)</v>
      </c>
      <c r="D30" s="10">
        <v>4</v>
      </c>
      <c r="E30" s="8" t="str">
        <f>_xlfn.IFNA(VLOOKUP(_xlfn.CONCAT("T",E$1,"V",$D30,"A",$A30),Vulnerabilities!$G:$G,1,FALSE()),"")</f>
        <v/>
      </c>
      <c r="F30" s="8" t="str">
        <f>_xlfn.IFNA(VLOOKUP(_xlfn.CONCAT("T",F$1,"V",$D30,"A",$A30),Vulnerabilities!$G:$G,1,FALSE()),"")</f>
        <v/>
      </c>
      <c r="G30" s="8" t="str">
        <f>_xlfn.IFNA(VLOOKUP(_xlfn.CONCAT("T",G$1,"V",$D30,"A",$A30),Vulnerabilities!$G:$G,1,FALSE()),"")</f>
        <v/>
      </c>
      <c r="H30" s="8" t="str">
        <f>_xlfn.IFNA(VLOOKUP(_xlfn.CONCAT("T",H$1,"V",$D30,"A",$A30),Vulnerabilities!$G:$G,1,FALSE()),"")</f>
        <v/>
      </c>
      <c r="I30" s="8" t="str">
        <f>_xlfn.IFNA(VLOOKUP(_xlfn.CONCAT("T",I$1,"V",$D30,"A",$A30),Vulnerabilities!$G:$G,1,FALSE()),"")</f>
        <v/>
      </c>
      <c r="J30" s="8" t="str">
        <f>_xlfn.IFNA(VLOOKUP(_xlfn.CONCAT("T",J$1,"V",$D30,"A",$A30),Vulnerabilities!$G:$G,1,FALSE()),"")</f>
        <v/>
      </c>
      <c r="K30" s="8" t="str">
        <f>_xlfn.IFNA(VLOOKUP(_xlfn.CONCAT("T",K$1,"V",$D30,"A",$A30),Vulnerabilities!$G:$G,1,FALSE()),"")</f>
        <v/>
      </c>
      <c r="L30" s="8" t="str">
        <f>_xlfn.IFNA(VLOOKUP(_xlfn.CONCAT("T",L$1,"V",$D30,"A",$A30),Vulnerabilities!$G:$G,1,FALSE()),"")</f>
        <v/>
      </c>
      <c r="M30" s="8" t="str">
        <f>_xlfn.IFNA(VLOOKUP(_xlfn.CONCAT("T",M$1,"V",$D30,"A",$A30),Vulnerabilities!$G:$G,1,FALSE()),"")</f>
        <v/>
      </c>
      <c r="N30" s="8" t="str">
        <f>_xlfn.IFNA(VLOOKUP(_xlfn.CONCAT("T",N$1,"V",$D30,"A",$A30),Vulnerabilities!$G:$G,1,FALSE()),"")</f>
        <v/>
      </c>
      <c r="O30" s="8" t="str">
        <f>_xlfn.IFNA(VLOOKUP(_xlfn.CONCAT("T",O$1,"V",$D30,"A",$A30),Vulnerabilities!$G:$G,1,FALSE()),"")</f>
        <v/>
      </c>
      <c r="P30" s="8" t="str">
        <f>_xlfn.IFNA(VLOOKUP(_xlfn.CONCAT("T",P$1,"V",$D30,"A",$A30),Vulnerabilities!$G:$G,1,FALSE()),"")</f>
        <v/>
      </c>
    </row>
    <row r="31" spans="1:16" x14ac:dyDescent="0.45">
      <c r="A31" s="23">
        <f t="shared" si="0"/>
        <v>8</v>
      </c>
      <c r="B31" s="24" t="str">
        <f>IF(VLOOKUP($A31,Assets!$A:$C,2,FALSE())=0,"",VLOOKUP($A31,Assets!$A:$C,2,FALSE()))</f>
        <v>Hardware</v>
      </c>
      <c r="C31" s="25" t="str">
        <f>IF(VLOOKUP($A31,Assets!$A:$C,3,FALSE())=0,"",VLOOKUP($A31,Assets!$A:$C,3,FALSE()))</f>
        <v>Network switches and cabling</v>
      </c>
      <c r="D31" s="10">
        <v>1</v>
      </c>
      <c r="E31" s="8" t="str">
        <f>_xlfn.IFNA(VLOOKUP(_xlfn.CONCAT("T",E$1,"V",$D31,"A",$A31),Vulnerabilities!$G:$G,1,FALSE()),"")</f>
        <v/>
      </c>
      <c r="F31" s="8" t="str">
        <f>_xlfn.IFNA(VLOOKUP(_xlfn.CONCAT("T",F$1,"V",$D31,"A",$A31),Vulnerabilities!$G:$G,1,FALSE()),"")</f>
        <v/>
      </c>
      <c r="G31" s="8" t="str">
        <f>_xlfn.IFNA(VLOOKUP(_xlfn.CONCAT("T",G$1,"V",$D31,"A",$A31),Vulnerabilities!$G:$G,1,FALSE()),"")</f>
        <v/>
      </c>
      <c r="H31" s="8" t="str">
        <f>_xlfn.IFNA(VLOOKUP(_xlfn.CONCAT("T",H$1,"V",$D31,"A",$A31),Vulnerabilities!$G:$G,1,FALSE()),"")</f>
        <v/>
      </c>
      <c r="I31" s="8" t="str">
        <f>_xlfn.IFNA(VLOOKUP(_xlfn.CONCAT("T",I$1,"V",$D31,"A",$A31),Vulnerabilities!$G:$G,1,FALSE()),"")</f>
        <v/>
      </c>
      <c r="J31" s="8" t="str">
        <f>_xlfn.IFNA(VLOOKUP(_xlfn.CONCAT("T",J$1,"V",$D31,"A",$A31),Vulnerabilities!$G:$G,1,FALSE()),"")</f>
        <v/>
      </c>
      <c r="K31" s="8" t="str">
        <f>_xlfn.IFNA(VLOOKUP(_xlfn.CONCAT("T",K$1,"V",$D31,"A",$A31),Vulnerabilities!$G:$G,1,FALSE()),"")</f>
        <v/>
      </c>
      <c r="L31" s="8" t="str">
        <f>_xlfn.IFNA(VLOOKUP(_xlfn.CONCAT("T",L$1,"V",$D31,"A",$A31),Vulnerabilities!$G:$G,1,FALSE()),"")</f>
        <v/>
      </c>
      <c r="M31" s="8" t="str">
        <f>_xlfn.IFNA(VLOOKUP(_xlfn.CONCAT("T",M$1,"V",$D31,"A",$A31),Vulnerabilities!$G:$G,1,FALSE()),"")</f>
        <v/>
      </c>
      <c r="N31" s="8" t="str">
        <f>_xlfn.IFNA(VLOOKUP(_xlfn.CONCAT("T",N$1,"V",$D31,"A",$A31),Vulnerabilities!$G:$G,1,FALSE()),"")</f>
        <v/>
      </c>
      <c r="O31" s="8" t="str">
        <f>_xlfn.IFNA(VLOOKUP(_xlfn.CONCAT("T",O$1,"V",$D31,"A",$A31),Vulnerabilities!$G:$G,1,FALSE()),"")</f>
        <v/>
      </c>
      <c r="P31" s="8" t="str">
        <f>_xlfn.IFNA(VLOOKUP(_xlfn.CONCAT("T",P$1,"V",$D31,"A",$A31),Vulnerabilities!$G:$G,1,FALSE()),"")</f>
        <v/>
      </c>
    </row>
    <row r="32" spans="1:16" x14ac:dyDescent="0.45">
      <c r="A32" s="23">
        <f t="shared" si="0"/>
        <v>8</v>
      </c>
      <c r="B32" s="24" t="str">
        <f>IF(VLOOKUP($A32,Assets!$A:$C,2,FALSE())=0,"",VLOOKUP($A32,Assets!$A:$C,2,FALSE()))</f>
        <v>Hardware</v>
      </c>
      <c r="C32" s="25" t="str">
        <f>IF(VLOOKUP($A32,Assets!$A:$C,3,FALSE())=0,"",VLOOKUP($A32,Assets!$A:$C,3,FALSE()))</f>
        <v>Network switches and cabling</v>
      </c>
      <c r="D32" s="10">
        <v>2</v>
      </c>
      <c r="E32" s="8" t="str">
        <f>_xlfn.IFNA(VLOOKUP(_xlfn.CONCAT("T",E$1,"V",$D32,"A",$A32),Vulnerabilities!$G:$G,1,FALSE()),"")</f>
        <v/>
      </c>
      <c r="F32" s="8" t="str">
        <f>_xlfn.IFNA(VLOOKUP(_xlfn.CONCAT("T",F$1,"V",$D32,"A",$A32),Vulnerabilities!$G:$G,1,FALSE()),"")</f>
        <v/>
      </c>
      <c r="G32" s="8" t="str">
        <f>_xlfn.IFNA(VLOOKUP(_xlfn.CONCAT("T",G$1,"V",$D32,"A",$A32),Vulnerabilities!$G:$G,1,FALSE()),"")</f>
        <v/>
      </c>
      <c r="H32" s="8" t="str">
        <f>_xlfn.IFNA(VLOOKUP(_xlfn.CONCAT("T",H$1,"V",$D32,"A",$A32),Vulnerabilities!$G:$G,1,FALSE()),"")</f>
        <v/>
      </c>
      <c r="I32" s="8" t="str">
        <f>_xlfn.IFNA(VLOOKUP(_xlfn.CONCAT("T",I$1,"V",$D32,"A",$A32),Vulnerabilities!$G:$G,1,FALSE()),"")</f>
        <v/>
      </c>
      <c r="J32" s="8" t="str">
        <f>_xlfn.IFNA(VLOOKUP(_xlfn.CONCAT("T",J$1,"V",$D32,"A",$A32),Vulnerabilities!$G:$G,1,FALSE()),"")</f>
        <v/>
      </c>
      <c r="K32" s="8" t="str">
        <f>_xlfn.IFNA(VLOOKUP(_xlfn.CONCAT("T",K$1,"V",$D32,"A",$A32),Vulnerabilities!$G:$G,1,FALSE()),"")</f>
        <v/>
      </c>
      <c r="L32" s="8" t="str">
        <f>_xlfn.IFNA(VLOOKUP(_xlfn.CONCAT("T",L$1,"V",$D32,"A",$A32),Vulnerabilities!$G:$G,1,FALSE()),"")</f>
        <v/>
      </c>
      <c r="M32" s="8" t="str">
        <f>_xlfn.IFNA(VLOOKUP(_xlfn.CONCAT("T",M$1,"V",$D32,"A",$A32),Vulnerabilities!$G:$G,1,FALSE()),"")</f>
        <v/>
      </c>
      <c r="N32" s="8" t="str">
        <f>_xlfn.IFNA(VLOOKUP(_xlfn.CONCAT("T",N$1,"V",$D32,"A",$A32),Vulnerabilities!$G:$G,1,FALSE()),"")</f>
        <v/>
      </c>
      <c r="O32" s="8" t="str">
        <f>_xlfn.IFNA(VLOOKUP(_xlfn.CONCAT("T",O$1,"V",$D32,"A",$A32),Vulnerabilities!$G:$G,1,FALSE()),"")</f>
        <v/>
      </c>
      <c r="P32" s="8" t="str">
        <f>_xlfn.IFNA(VLOOKUP(_xlfn.CONCAT("T",P$1,"V",$D32,"A",$A32),Vulnerabilities!$G:$G,1,FALSE()),"")</f>
        <v/>
      </c>
    </row>
    <row r="33" spans="1:16" x14ac:dyDescent="0.45">
      <c r="A33" s="23">
        <f t="shared" si="0"/>
        <v>8</v>
      </c>
      <c r="B33" s="24" t="str">
        <f>IF(VLOOKUP($A33,Assets!$A:$C,2,FALSE())=0,"",VLOOKUP($A33,Assets!$A:$C,2,FALSE()))</f>
        <v>Hardware</v>
      </c>
      <c r="C33" s="25" t="str">
        <f>IF(VLOOKUP($A33,Assets!$A:$C,3,FALSE())=0,"",VLOOKUP($A33,Assets!$A:$C,3,FALSE()))</f>
        <v>Network switches and cabling</v>
      </c>
      <c r="D33" s="10">
        <v>3</v>
      </c>
      <c r="E33" s="8" t="str">
        <f>_xlfn.IFNA(VLOOKUP(_xlfn.CONCAT("T",E$1,"V",$D33,"A",$A33),Vulnerabilities!$G:$G,1,FALSE()),"")</f>
        <v/>
      </c>
      <c r="F33" s="8" t="str">
        <f>_xlfn.IFNA(VLOOKUP(_xlfn.CONCAT("T",F$1,"V",$D33,"A",$A33),Vulnerabilities!$G:$G,1,FALSE()),"")</f>
        <v/>
      </c>
      <c r="G33" s="8" t="str">
        <f>_xlfn.IFNA(VLOOKUP(_xlfn.CONCAT("T",G$1,"V",$D33,"A",$A33),Vulnerabilities!$G:$G,1,FALSE()),"")</f>
        <v/>
      </c>
      <c r="H33" s="8" t="str">
        <f>_xlfn.IFNA(VLOOKUP(_xlfn.CONCAT("T",H$1,"V",$D33,"A",$A33),Vulnerabilities!$G:$G,1,FALSE()),"")</f>
        <v/>
      </c>
      <c r="I33" s="8" t="str">
        <f>_xlfn.IFNA(VLOOKUP(_xlfn.CONCAT("T",I$1,"V",$D33,"A",$A33),Vulnerabilities!$G:$G,1,FALSE()),"")</f>
        <v/>
      </c>
      <c r="J33" s="8" t="str">
        <f>_xlfn.IFNA(VLOOKUP(_xlfn.CONCAT("T",J$1,"V",$D33,"A",$A33),Vulnerabilities!$G:$G,1,FALSE()),"")</f>
        <v/>
      </c>
      <c r="K33" s="8" t="str">
        <f>_xlfn.IFNA(VLOOKUP(_xlfn.CONCAT("T",K$1,"V",$D33,"A",$A33),Vulnerabilities!$G:$G,1,FALSE()),"")</f>
        <v/>
      </c>
      <c r="L33" s="8" t="str">
        <f>_xlfn.IFNA(VLOOKUP(_xlfn.CONCAT("T",L$1,"V",$D33,"A",$A33),Vulnerabilities!$G:$G,1,FALSE()),"")</f>
        <v/>
      </c>
      <c r="M33" s="8" t="str">
        <f>_xlfn.IFNA(VLOOKUP(_xlfn.CONCAT("T",M$1,"V",$D33,"A",$A33),Vulnerabilities!$G:$G,1,FALSE()),"")</f>
        <v/>
      </c>
      <c r="N33" s="8" t="str">
        <f>_xlfn.IFNA(VLOOKUP(_xlfn.CONCAT("T",N$1,"V",$D33,"A",$A33),Vulnerabilities!$G:$G,1,FALSE()),"")</f>
        <v/>
      </c>
      <c r="O33" s="8" t="str">
        <f>_xlfn.IFNA(VLOOKUP(_xlfn.CONCAT("T",O$1,"V",$D33,"A",$A33),Vulnerabilities!$G:$G,1,FALSE()),"")</f>
        <v/>
      </c>
      <c r="P33" s="8" t="str">
        <f>_xlfn.IFNA(VLOOKUP(_xlfn.CONCAT("T",P$1,"V",$D33,"A",$A33),Vulnerabilities!$G:$G,1,FALSE()),"")</f>
        <v/>
      </c>
    </row>
    <row r="34" spans="1:16" x14ac:dyDescent="0.45">
      <c r="A34" s="23">
        <f t="shared" si="0"/>
        <v>8</v>
      </c>
      <c r="B34" s="24" t="str">
        <f>IF(VLOOKUP($A34,Assets!$A:$C,2,FALSE())=0,"",VLOOKUP($A34,Assets!$A:$C,2,FALSE()))</f>
        <v>Hardware</v>
      </c>
      <c r="C34" s="25" t="str">
        <f>IF(VLOOKUP($A34,Assets!$A:$C,3,FALSE())=0,"",VLOOKUP($A34,Assets!$A:$C,3,FALSE()))</f>
        <v>Network switches and cabling</v>
      </c>
      <c r="D34" s="10">
        <v>4</v>
      </c>
      <c r="E34" s="8" t="str">
        <f>_xlfn.IFNA(VLOOKUP(_xlfn.CONCAT("T",E$1,"V",$D34,"A",$A34),Vulnerabilities!$G:$G,1,FALSE()),"")</f>
        <v/>
      </c>
      <c r="F34" s="8" t="str">
        <f>_xlfn.IFNA(VLOOKUP(_xlfn.CONCAT("T",F$1,"V",$D34,"A",$A34),Vulnerabilities!$G:$G,1,FALSE()),"")</f>
        <v/>
      </c>
      <c r="G34" s="8" t="str">
        <f>_xlfn.IFNA(VLOOKUP(_xlfn.CONCAT("T",G$1,"V",$D34,"A",$A34),Vulnerabilities!$G:$G,1,FALSE()),"")</f>
        <v/>
      </c>
      <c r="H34" s="8" t="str">
        <f>_xlfn.IFNA(VLOOKUP(_xlfn.CONCAT("T",H$1,"V",$D34,"A",$A34),Vulnerabilities!$G:$G,1,FALSE()),"")</f>
        <v/>
      </c>
      <c r="I34" s="8" t="str">
        <f>_xlfn.IFNA(VLOOKUP(_xlfn.CONCAT("T",I$1,"V",$D34,"A",$A34),Vulnerabilities!$G:$G,1,FALSE()),"")</f>
        <v/>
      </c>
      <c r="J34" s="8" t="str">
        <f>_xlfn.IFNA(VLOOKUP(_xlfn.CONCAT("T",J$1,"V",$D34,"A",$A34),Vulnerabilities!$G:$G,1,FALSE()),"")</f>
        <v/>
      </c>
      <c r="K34" s="8" t="str">
        <f>_xlfn.IFNA(VLOOKUP(_xlfn.CONCAT("T",K$1,"V",$D34,"A",$A34),Vulnerabilities!$G:$G,1,FALSE()),"")</f>
        <v/>
      </c>
      <c r="L34" s="8" t="str">
        <f>_xlfn.IFNA(VLOOKUP(_xlfn.CONCAT("T",L$1,"V",$D34,"A",$A34),Vulnerabilities!$G:$G,1,FALSE()),"")</f>
        <v/>
      </c>
      <c r="M34" s="8" t="str">
        <f>_xlfn.IFNA(VLOOKUP(_xlfn.CONCAT("T",M$1,"V",$D34,"A",$A34),Vulnerabilities!$G:$G,1,FALSE()),"")</f>
        <v/>
      </c>
      <c r="N34" s="8" t="str">
        <f>_xlfn.IFNA(VLOOKUP(_xlfn.CONCAT("T",N$1,"V",$D34,"A",$A34),Vulnerabilities!$G:$G,1,FALSE()),"")</f>
        <v/>
      </c>
      <c r="O34" s="8" t="str">
        <f>_xlfn.IFNA(VLOOKUP(_xlfn.CONCAT("T",O$1,"V",$D34,"A",$A34),Vulnerabilities!$G:$G,1,FALSE()),"")</f>
        <v/>
      </c>
      <c r="P34" s="8" t="str">
        <f>_xlfn.IFNA(VLOOKUP(_xlfn.CONCAT("T",P$1,"V",$D34,"A",$A34),Vulnerabilities!$G:$G,1,FALSE()),"")</f>
        <v/>
      </c>
    </row>
    <row r="35" spans="1:16" x14ac:dyDescent="0.45">
      <c r="A35" s="23">
        <f t="shared" si="0"/>
        <v>9</v>
      </c>
      <c r="B35" s="24" t="str">
        <f>IF(VLOOKUP($A35,Assets!$A:$C,2,FALSE())=0,"",VLOOKUP($A35,Assets!$A:$C,2,FALSE()))</f>
        <v>Software</v>
      </c>
      <c r="C35" s="25" t="str">
        <f>IF(VLOOKUP($A35,Assets!$A:$C,3,FALSE())=0,"",VLOOKUP($A35,Assets!$A:$C,3,FALSE()))</f>
        <v>OpenWRT firmware and firewall software</v>
      </c>
      <c r="D35" s="10">
        <v>1</v>
      </c>
      <c r="E35" s="8" t="str">
        <f>_xlfn.IFNA(VLOOKUP(_xlfn.CONCAT("T",E$1,"V",$D35,"A",$A35),Vulnerabilities!$G:$G,1,FALSE()),"")</f>
        <v/>
      </c>
      <c r="F35" s="8" t="str">
        <f>_xlfn.IFNA(VLOOKUP(_xlfn.CONCAT("T",F$1,"V",$D35,"A",$A35),Vulnerabilities!$G:$G,1,FALSE()),"")</f>
        <v>T2V1A9</v>
      </c>
      <c r="G35" s="8" t="str">
        <f>_xlfn.IFNA(VLOOKUP(_xlfn.CONCAT("T",G$1,"V",$D35,"A",$A35),Vulnerabilities!$G:$G,1,FALSE()),"")</f>
        <v/>
      </c>
      <c r="H35" s="8" t="str">
        <f>_xlfn.IFNA(VLOOKUP(_xlfn.CONCAT("T",H$1,"V",$D35,"A",$A35),Vulnerabilities!$G:$G,1,FALSE()),"")</f>
        <v/>
      </c>
      <c r="I35" s="8" t="str">
        <f>_xlfn.IFNA(VLOOKUP(_xlfn.CONCAT("T",I$1,"V",$D35,"A",$A35),Vulnerabilities!$G:$G,1,FALSE()),"")</f>
        <v/>
      </c>
      <c r="J35" s="8" t="str">
        <f>_xlfn.IFNA(VLOOKUP(_xlfn.CONCAT("T",J$1,"V",$D35,"A",$A35),Vulnerabilities!$G:$G,1,FALSE()),"")</f>
        <v/>
      </c>
      <c r="K35" s="8" t="str">
        <f>_xlfn.IFNA(VLOOKUP(_xlfn.CONCAT("T",K$1,"V",$D35,"A",$A35),Vulnerabilities!$G:$G,1,FALSE()),"")</f>
        <v/>
      </c>
      <c r="L35" s="8" t="str">
        <f>_xlfn.IFNA(VLOOKUP(_xlfn.CONCAT("T",L$1,"V",$D35,"A",$A35),Vulnerabilities!$G:$G,1,FALSE()),"")</f>
        <v/>
      </c>
      <c r="M35" s="8" t="str">
        <f>_xlfn.IFNA(VLOOKUP(_xlfn.CONCAT("T",M$1,"V",$D35,"A",$A35),Vulnerabilities!$G:$G,1,FALSE()),"")</f>
        <v>T9V1A9</v>
      </c>
      <c r="N35" s="8" t="str">
        <f>_xlfn.IFNA(VLOOKUP(_xlfn.CONCAT("T",N$1,"V",$D35,"A",$A35),Vulnerabilities!$G:$G,1,FALSE()),"")</f>
        <v/>
      </c>
      <c r="O35" s="8" t="str">
        <f>_xlfn.IFNA(VLOOKUP(_xlfn.CONCAT("T",O$1,"V",$D35,"A",$A35),Vulnerabilities!$G:$G,1,FALSE()),"")</f>
        <v/>
      </c>
      <c r="P35" s="8" t="str">
        <f>_xlfn.IFNA(VLOOKUP(_xlfn.CONCAT("T",P$1,"V",$D35,"A",$A35),Vulnerabilities!$G:$G,1,FALSE()),"")</f>
        <v/>
      </c>
    </row>
    <row r="36" spans="1:16" x14ac:dyDescent="0.45">
      <c r="A36" s="23">
        <f t="shared" si="0"/>
        <v>9</v>
      </c>
      <c r="B36" s="24" t="str">
        <f>IF(VLOOKUP($A36,Assets!$A:$C,2,FALSE())=0,"",VLOOKUP($A36,Assets!$A:$C,2,FALSE()))</f>
        <v>Software</v>
      </c>
      <c r="C36" s="25" t="str">
        <f>IF(VLOOKUP($A36,Assets!$A:$C,3,FALSE())=0,"",VLOOKUP($A36,Assets!$A:$C,3,FALSE()))</f>
        <v>OpenWRT firmware and firewall software</v>
      </c>
      <c r="D36" s="10">
        <v>2</v>
      </c>
      <c r="E36" s="8" t="str">
        <f>_xlfn.IFNA(VLOOKUP(_xlfn.CONCAT("T",E$1,"V",$D36,"A",$A36),Vulnerabilities!$G:$G,1,FALSE()),"")</f>
        <v/>
      </c>
      <c r="F36" s="8" t="str">
        <f>_xlfn.IFNA(VLOOKUP(_xlfn.CONCAT("T",F$1,"V",$D36,"A",$A36),Vulnerabilities!$G:$G,1,FALSE()),"")</f>
        <v/>
      </c>
      <c r="G36" s="8" t="str">
        <f>_xlfn.IFNA(VLOOKUP(_xlfn.CONCAT("T",G$1,"V",$D36,"A",$A36),Vulnerabilities!$G:$G,1,FALSE()),"")</f>
        <v/>
      </c>
      <c r="H36" s="8" t="str">
        <f>_xlfn.IFNA(VLOOKUP(_xlfn.CONCAT("T",H$1,"V",$D36,"A",$A36),Vulnerabilities!$G:$G,1,FALSE()),"")</f>
        <v/>
      </c>
      <c r="I36" s="8" t="str">
        <f>_xlfn.IFNA(VLOOKUP(_xlfn.CONCAT("T",I$1,"V",$D36,"A",$A36),Vulnerabilities!$G:$G,1,FALSE()),"")</f>
        <v/>
      </c>
      <c r="J36" s="8" t="str">
        <f>_xlfn.IFNA(VLOOKUP(_xlfn.CONCAT("T",J$1,"V",$D36,"A",$A36),Vulnerabilities!$G:$G,1,FALSE()),"")</f>
        <v/>
      </c>
      <c r="K36" s="8" t="str">
        <f>_xlfn.IFNA(VLOOKUP(_xlfn.CONCAT("T",K$1,"V",$D36,"A",$A36),Vulnerabilities!$G:$G,1,FALSE()),"")</f>
        <v/>
      </c>
      <c r="L36" s="8" t="str">
        <f>_xlfn.IFNA(VLOOKUP(_xlfn.CONCAT("T",L$1,"V",$D36,"A",$A36),Vulnerabilities!$G:$G,1,FALSE()),"")</f>
        <v/>
      </c>
      <c r="M36" s="8" t="str">
        <f>_xlfn.IFNA(VLOOKUP(_xlfn.CONCAT("T",M$1,"V",$D36,"A",$A36),Vulnerabilities!$G:$G,1,FALSE()),"")</f>
        <v/>
      </c>
      <c r="N36" s="8" t="str">
        <f>_xlfn.IFNA(VLOOKUP(_xlfn.CONCAT("T",N$1,"V",$D36,"A",$A36),Vulnerabilities!$G:$G,1,FALSE()),"")</f>
        <v/>
      </c>
      <c r="O36" s="8" t="str">
        <f>_xlfn.IFNA(VLOOKUP(_xlfn.CONCAT("T",O$1,"V",$D36,"A",$A36),Vulnerabilities!$G:$G,1,FALSE()),"")</f>
        <v/>
      </c>
      <c r="P36" s="8" t="str">
        <f>_xlfn.IFNA(VLOOKUP(_xlfn.CONCAT("T",P$1,"V",$D36,"A",$A36),Vulnerabilities!$G:$G,1,FALSE()),"")</f>
        <v/>
      </c>
    </row>
    <row r="37" spans="1:16" x14ac:dyDescent="0.45">
      <c r="A37" s="23">
        <f t="shared" si="0"/>
        <v>9</v>
      </c>
      <c r="B37" s="24" t="str">
        <f>IF(VLOOKUP($A37,Assets!$A:$C,2,FALSE())=0,"",VLOOKUP($A37,Assets!$A:$C,2,FALSE()))</f>
        <v>Software</v>
      </c>
      <c r="C37" s="25" t="str">
        <f>IF(VLOOKUP($A37,Assets!$A:$C,3,FALSE())=0,"",VLOOKUP($A37,Assets!$A:$C,3,FALSE()))</f>
        <v>OpenWRT firmware and firewall software</v>
      </c>
      <c r="D37" s="10">
        <v>3</v>
      </c>
      <c r="E37" s="8" t="str">
        <f>_xlfn.IFNA(VLOOKUP(_xlfn.CONCAT("T",E$1,"V",$D37,"A",$A37),Vulnerabilities!$G:$G,1,FALSE()),"")</f>
        <v/>
      </c>
      <c r="F37" s="8" t="str">
        <f>_xlfn.IFNA(VLOOKUP(_xlfn.CONCAT("T",F$1,"V",$D37,"A",$A37),Vulnerabilities!$G:$G,1,FALSE()),"")</f>
        <v/>
      </c>
      <c r="G37" s="8" t="str">
        <f>_xlfn.IFNA(VLOOKUP(_xlfn.CONCAT("T",G$1,"V",$D37,"A",$A37),Vulnerabilities!$G:$G,1,FALSE()),"")</f>
        <v/>
      </c>
      <c r="H37" s="8" t="str">
        <f>_xlfn.IFNA(VLOOKUP(_xlfn.CONCAT("T",H$1,"V",$D37,"A",$A37),Vulnerabilities!$G:$G,1,FALSE()),"")</f>
        <v/>
      </c>
      <c r="I37" s="8" t="str">
        <f>_xlfn.IFNA(VLOOKUP(_xlfn.CONCAT("T",I$1,"V",$D37,"A",$A37),Vulnerabilities!$G:$G,1,FALSE()),"")</f>
        <v/>
      </c>
      <c r="J37" s="8" t="str">
        <f>_xlfn.IFNA(VLOOKUP(_xlfn.CONCAT("T",J$1,"V",$D37,"A",$A37),Vulnerabilities!$G:$G,1,FALSE()),"")</f>
        <v/>
      </c>
      <c r="K37" s="8" t="str">
        <f>_xlfn.IFNA(VLOOKUP(_xlfn.CONCAT("T",K$1,"V",$D37,"A",$A37),Vulnerabilities!$G:$G,1,FALSE()),"")</f>
        <v/>
      </c>
      <c r="L37" s="8" t="str">
        <f>_xlfn.IFNA(VLOOKUP(_xlfn.CONCAT("T",L$1,"V",$D37,"A",$A37),Vulnerabilities!$G:$G,1,FALSE()),"")</f>
        <v/>
      </c>
      <c r="M37" s="8" t="str">
        <f>_xlfn.IFNA(VLOOKUP(_xlfn.CONCAT("T",M$1,"V",$D37,"A",$A37),Vulnerabilities!$G:$G,1,FALSE()),"")</f>
        <v/>
      </c>
      <c r="N37" s="8" t="str">
        <f>_xlfn.IFNA(VLOOKUP(_xlfn.CONCAT("T",N$1,"V",$D37,"A",$A37),Vulnerabilities!$G:$G,1,FALSE()),"")</f>
        <v/>
      </c>
      <c r="O37" s="8" t="str">
        <f>_xlfn.IFNA(VLOOKUP(_xlfn.CONCAT("T",O$1,"V",$D37,"A",$A37),Vulnerabilities!$G:$G,1,FALSE()),"")</f>
        <v/>
      </c>
      <c r="P37" s="8" t="str">
        <f>_xlfn.IFNA(VLOOKUP(_xlfn.CONCAT("T",P$1,"V",$D37,"A",$A37),Vulnerabilities!$G:$G,1,FALSE()),"")</f>
        <v/>
      </c>
    </row>
    <row r="38" spans="1:16" x14ac:dyDescent="0.45">
      <c r="A38" s="23">
        <f t="shared" si="0"/>
        <v>9</v>
      </c>
      <c r="B38" s="24" t="str">
        <f>IF(VLOOKUP($A38,Assets!$A:$C,2,FALSE())=0,"",VLOOKUP($A38,Assets!$A:$C,2,FALSE()))</f>
        <v>Software</v>
      </c>
      <c r="C38" s="25" t="str">
        <f>IF(VLOOKUP($A38,Assets!$A:$C,3,FALSE())=0,"",VLOOKUP($A38,Assets!$A:$C,3,FALSE()))</f>
        <v>OpenWRT firmware and firewall software</v>
      </c>
      <c r="D38" s="10">
        <v>4</v>
      </c>
      <c r="E38" s="8" t="str">
        <f>_xlfn.IFNA(VLOOKUP(_xlfn.CONCAT("T",E$1,"V",$D38,"A",$A38),Vulnerabilities!$G:$G,1,FALSE()),"")</f>
        <v/>
      </c>
      <c r="F38" s="8" t="str">
        <f>_xlfn.IFNA(VLOOKUP(_xlfn.CONCAT("T",F$1,"V",$D38,"A",$A38),Vulnerabilities!$G:$G,1,FALSE()),"")</f>
        <v/>
      </c>
      <c r="G38" s="8" t="str">
        <f>_xlfn.IFNA(VLOOKUP(_xlfn.CONCAT("T",G$1,"V",$D38,"A",$A38),Vulnerabilities!$G:$G,1,FALSE()),"")</f>
        <v/>
      </c>
      <c r="H38" s="8" t="str">
        <f>_xlfn.IFNA(VLOOKUP(_xlfn.CONCAT("T",H$1,"V",$D38,"A",$A38),Vulnerabilities!$G:$G,1,FALSE()),"")</f>
        <v/>
      </c>
      <c r="I38" s="8" t="str">
        <f>_xlfn.IFNA(VLOOKUP(_xlfn.CONCAT("T",I$1,"V",$D38,"A",$A38),Vulnerabilities!$G:$G,1,FALSE()),"")</f>
        <v/>
      </c>
      <c r="J38" s="8" t="str">
        <f>_xlfn.IFNA(VLOOKUP(_xlfn.CONCAT("T",J$1,"V",$D38,"A",$A38),Vulnerabilities!$G:$G,1,FALSE()),"")</f>
        <v/>
      </c>
      <c r="K38" s="8" t="str">
        <f>_xlfn.IFNA(VLOOKUP(_xlfn.CONCAT("T",K$1,"V",$D38,"A",$A38),Vulnerabilities!$G:$G,1,FALSE()),"")</f>
        <v/>
      </c>
      <c r="L38" s="8" t="str">
        <f>_xlfn.IFNA(VLOOKUP(_xlfn.CONCAT("T",L$1,"V",$D38,"A",$A38),Vulnerabilities!$G:$G,1,FALSE()),"")</f>
        <v/>
      </c>
      <c r="M38" s="8" t="str">
        <f>_xlfn.IFNA(VLOOKUP(_xlfn.CONCAT("T",M$1,"V",$D38,"A",$A38),Vulnerabilities!$G:$G,1,FALSE()),"")</f>
        <v/>
      </c>
      <c r="N38" s="8" t="str">
        <f>_xlfn.IFNA(VLOOKUP(_xlfn.CONCAT("T",N$1,"V",$D38,"A",$A38),Vulnerabilities!$G:$G,1,FALSE()),"")</f>
        <v/>
      </c>
      <c r="O38" s="8" t="str">
        <f>_xlfn.IFNA(VLOOKUP(_xlfn.CONCAT("T",O$1,"V",$D38,"A",$A38),Vulnerabilities!$G:$G,1,FALSE()),"")</f>
        <v/>
      </c>
      <c r="P38" s="8" t="str">
        <f>_xlfn.IFNA(VLOOKUP(_xlfn.CONCAT("T",P$1,"V",$D38,"A",$A38),Vulnerabilities!$G:$G,1,FALSE()),"")</f>
        <v/>
      </c>
    </row>
    <row r="39" spans="1:16" x14ac:dyDescent="0.45">
      <c r="A39" s="23">
        <f t="shared" si="0"/>
        <v>10</v>
      </c>
      <c r="B39" s="24" t="str">
        <f>IF(VLOOKUP($A39,Assets!$A:$C,2,FALSE())=0,"",VLOOKUP($A39,Assets!$A:$C,2,FALSE()))</f>
        <v>Software</v>
      </c>
      <c r="C39" s="25" t="str">
        <f>IF(VLOOKUP($A39,Assets!$A:$C,3,FALSE())=0,"",VLOOKUP($A39,Assets!$A:$C,3,FALSE()))</f>
        <v>Windows 10 OS on staff workstations</v>
      </c>
      <c r="D39" s="10">
        <v>1</v>
      </c>
      <c r="E39" s="8" t="str">
        <f>_xlfn.IFNA(VLOOKUP(_xlfn.CONCAT("T",E$1,"V",$D39,"A",$A39),Vulnerabilities!$G:$G,1,FALSE()),"")</f>
        <v/>
      </c>
      <c r="F39" s="8" t="str">
        <f>_xlfn.IFNA(VLOOKUP(_xlfn.CONCAT("T",F$1,"V",$D39,"A",$A39),Vulnerabilities!$G:$G,1,FALSE()),"")</f>
        <v>T2V1A10</v>
      </c>
      <c r="G39" s="8" t="str">
        <f>_xlfn.IFNA(VLOOKUP(_xlfn.CONCAT("T",G$1,"V",$D39,"A",$A39),Vulnerabilities!$G:$G,1,FALSE()),"")</f>
        <v/>
      </c>
      <c r="H39" s="8" t="str">
        <f>_xlfn.IFNA(VLOOKUP(_xlfn.CONCAT("T",H$1,"V",$D39,"A",$A39),Vulnerabilities!$G:$G,1,FALSE()),"")</f>
        <v/>
      </c>
      <c r="I39" s="8" t="str">
        <f>_xlfn.IFNA(VLOOKUP(_xlfn.CONCAT("T",I$1,"V",$D39,"A",$A39),Vulnerabilities!$G:$G,1,FALSE()),"")</f>
        <v/>
      </c>
      <c r="J39" s="8" t="str">
        <f>_xlfn.IFNA(VLOOKUP(_xlfn.CONCAT("T",J$1,"V",$D39,"A",$A39),Vulnerabilities!$G:$G,1,FALSE()),"")</f>
        <v/>
      </c>
      <c r="K39" s="8" t="str">
        <f>_xlfn.IFNA(VLOOKUP(_xlfn.CONCAT("T",K$1,"V",$D39,"A",$A39),Vulnerabilities!$G:$G,1,FALSE()),"")</f>
        <v/>
      </c>
      <c r="L39" s="8" t="str">
        <f>_xlfn.IFNA(VLOOKUP(_xlfn.CONCAT("T",L$1,"V",$D39,"A",$A39),Vulnerabilities!$G:$G,1,FALSE()),"")</f>
        <v/>
      </c>
      <c r="M39" s="8" t="str">
        <f>_xlfn.IFNA(VLOOKUP(_xlfn.CONCAT("T",M$1,"V",$D39,"A",$A39),Vulnerabilities!$G:$G,1,FALSE()),"")</f>
        <v/>
      </c>
      <c r="N39" s="8" t="str">
        <f>_xlfn.IFNA(VLOOKUP(_xlfn.CONCAT("T",N$1,"V",$D39,"A",$A39),Vulnerabilities!$G:$G,1,FALSE()),"")</f>
        <v/>
      </c>
      <c r="O39" s="8" t="str">
        <f>_xlfn.IFNA(VLOOKUP(_xlfn.CONCAT("T",O$1,"V",$D39,"A",$A39),Vulnerabilities!$G:$G,1,FALSE()),"")</f>
        <v/>
      </c>
      <c r="P39" s="8" t="str">
        <f>_xlfn.IFNA(VLOOKUP(_xlfn.CONCAT("T",P$1,"V",$D39,"A",$A39),Vulnerabilities!$G:$G,1,FALSE()),"")</f>
        <v/>
      </c>
    </row>
    <row r="40" spans="1:16" x14ac:dyDescent="0.45">
      <c r="A40" s="23">
        <f t="shared" si="0"/>
        <v>10</v>
      </c>
      <c r="B40" s="24" t="str">
        <f>IF(VLOOKUP($A40,Assets!$A:$C,2,FALSE())=0,"",VLOOKUP($A40,Assets!$A:$C,2,FALSE()))</f>
        <v>Software</v>
      </c>
      <c r="C40" s="25" t="str">
        <f>IF(VLOOKUP($A40,Assets!$A:$C,3,FALSE())=0,"",VLOOKUP($A40,Assets!$A:$C,3,FALSE()))</f>
        <v>Windows 10 OS on staff workstations</v>
      </c>
      <c r="D40" s="10">
        <v>2</v>
      </c>
      <c r="E40" s="8" t="str">
        <f>_xlfn.IFNA(VLOOKUP(_xlfn.CONCAT("T",E$1,"V",$D40,"A",$A40),Vulnerabilities!$G:$G,1,FALSE()),"")</f>
        <v/>
      </c>
      <c r="F40" s="8" t="str">
        <f>_xlfn.IFNA(VLOOKUP(_xlfn.CONCAT("T",F$1,"V",$D40,"A",$A40),Vulnerabilities!$G:$G,1,FALSE()),"")</f>
        <v/>
      </c>
      <c r="G40" s="8" t="str">
        <f>_xlfn.IFNA(VLOOKUP(_xlfn.CONCAT("T",G$1,"V",$D40,"A",$A40),Vulnerabilities!$G:$G,1,FALSE()),"")</f>
        <v/>
      </c>
      <c r="H40" s="8" t="str">
        <f>_xlfn.IFNA(VLOOKUP(_xlfn.CONCAT("T",H$1,"V",$D40,"A",$A40),Vulnerabilities!$G:$G,1,FALSE()),"")</f>
        <v/>
      </c>
      <c r="I40" s="8" t="str">
        <f>_xlfn.IFNA(VLOOKUP(_xlfn.CONCAT("T",I$1,"V",$D40,"A",$A40),Vulnerabilities!$G:$G,1,FALSE()),"")</f>
        <v/>
      </c>
      <c r="J40" s="8" t="str">
        <f>_xlfn.IFNA(VLOOKUP(_xlfn.CONCAT("T",J$1,"V",$D40,"A",$A40),Vulnerabilities!$G:$G,1,FALSE()),"")</f>
        <v/>
      </c>
      <c r="K40" s="8" t="str">
        <f>_xlfn.IFNA(VLOOKUP(_xlfn.CONCAT("T",K$1,"V",$D40,"A",$A40),Vulnerabilities!$G:$G,1,FALSE()),"")</f>
        <v/>
      </c>
      <c r="L40" s="8" t="str">
        <f>_xlfn.IFNA(VLOOKUP(_xlfn.CONCAT("T",L$1,"V",$D40,"A",$A40),Vulnerabilities!$G:$G,1,FALSE()),"")</f>
        <v/>
      </c>
      <c r="M40" s="8" t="str">
        <f>_xlfn.IFNA(VLOOKUP(_xlfn.CONCAT("T",M$1,"V",$D40,"A",$A40),Vulnerabilities!$G:$G,1,FALSE()),"")</f>
        <v/>
      </c>
      <c r="N40" s="8" t="str">
        <f>_xlfn.IFNA(VLOOKUP(_xlfn.CONCAT("T",N$1,"V",$D40,"A",$A40),Vulnerabilities!$G:$G,1,FALSE()),"")</f>
        <v/>
      </c>
      <c r="O40" s="8" t="str">
        <f>_xlfn.IFNA(VLOOKUP(_xlfn.CONCAT("T",O$1,"V",$D40,"A",$A40),Vulnerabilities!$G:$G,1,FALSE()),"")</f>
        <v/>
      </c>
      <c r="P40" s="8" t="str">
        <f>_xlfn.IFNA(VLOOKUP(_xlfn.CONCAT("T",P$1,"V",$D40,"A",$A40),Vulnerabilities!$G:$G,1,FALSE()),"")</f>
        <v/>
      </c>
    </row>
    <row r="41" spans="1:16" x14ac:dyDescent="0.45">
      <c r="A41" s="23">
        <f t="shared" si="0"/>
        <v>10</v>
      </c>
      <c r="B41" s="24" t="str">
        <f>IF(VLOOKUP($A41,Assets!$A:$C,2,FALSE())=0,"",VLOOKUP($A41,Assets!$A:$C,2,FALSE()))</f>
        <v>Software</v>
      </c>
      <c r="C41" s="25" t="str">
        <f>IF(VLOOKUP($A41,Assets!$A:$C,3,FALSE())=0,"",VLOOKUP($A41,Assets!$A:$C,3,FALSE()))</f>
        <v>Windows 10 OS on staff workstations</v>
      </c>
      <c r="D41" s="10">
        <v>3</v>
      </c>
      <c r="E41" s="8" t="str">
        <f>_xlfn.IFNA(VLOOKUP(_xlfn.CONCAT("T",E$1,"V",$D41,"A",$A41),Vulnerabilities!$G:$G,1,FALSE()),"")</f>
        <v/>
      </c>
      <c r="F41" s="8" t="str">
        <f>_xlfn.IFNA(VLOOKUP(_xlfn.CONCAT("T",F$1,"V",$D41,"A",$A41),Vulnerabilities!$G:$G,1,FALSE()),"")</f>
        <v/>
      </c>
      <c r="G41" s="8" t="str">
        <f>_xlfn.IFNA(VLOOKUP(_xlfn.CONCAT("T",G$1,"V",$D41,"A",$A41),Vulnerabilities!$G:$G,1,FALSE()),"")</f>
        <v/>
      </c>
      <c r="H41" s="8" t="str">
        <f>_xlfn.IFNA(VLOOKUP(_xlfn.CONCAT("T",H$1,"V",$D41,"A",$A41),Vulnerabilities!$G:$G,1,FALSE()),"")</f>
        <v/>
      </c>
      <c r="I41" s="8" t="str">
        <f>_xlfn.IFNA(VLOOKUP(_xlfn.CONCAT("T",I$1,"V",$D41,"A",$A41),Vulnerabilities!$G:$G,1,FALSE()),"")</f>
        <v/>
      </c>
      <c r="J41" s="8" t="str">
        <f>_xlfn.IFNA(VLOOKUP(_xlfn.CONCAT("T",J$1,"V",$D41,"A",$A41),Vulnerabilities!$G:$G,1,FALSE()),"")</f>
        <v/>
      </c>
      <c r="K41" s="8" t="str">
        <f>_xlfn.IFNA(VLOOKUP(_xlfn.CONCAT("T",K$1,"V",$D41,"A",$A41),Vulnerabilities!$G:$G,1,FALSE()),"")</f>
        <v/>
      </c>
      <c r="L41" s="8" t="str">
        <f>_xlfn.IFNA(VLOOKUP(_xlfn.CONCAT("T",L$1,"V",$D41,"A",$A41),Vulnerabilities!$G:$G,1,FALSE()),"")</f>
        <v/>
      </c>
      <c r="M41" s="8" t="str">
        <f>_xlfn.IFNA(VLOOKUP(_xlfn.CONCAT("T",M$1,"V",$D41,"A",$A41),Vulnerabilities!$G:$G,1,FALSE()),"")</f>
        <v/>
      </c>
      <c r="N41" s="8" t="str">
        <f>_xlfn.IFNA(VLOOKUP(_xlfn.CONCAT("T",N$1,"V",$D41,"A",$A41),Vulnerabilities!$G:$G,1,FALSE()),"")</f>
        <v/>
      </c>
      <c r="O41" s="8" t="str">
        <f>_xlfn.IFNA(VLOOKUP(_xlfn.CONCAT("T",O$1,"V",$D41,"A",$A41),Vulnerabilities!$G:$G,1,FALSE()),"")</f>
        <v/>
      </c>
      <c r="P41" s="8" t="str">
        <f>_xlfn.IFNA(VLOOKUP(_xlfn.CONCAT("T",P$1,"V",$D41,"A",$A41),Vulnerabilities!$G:$G,1,FALSE()),"")</f>
        <v/>
      </c>
    </row>
    <row r="42" spans="1:16" x14ac:dyDescent="0.45">
      <c r="A42" s="23">
        <f t="shared" si="0"/>
        <v>10</v>
      </c>
      <c r="B42" s="24" t="str">
        <f>IF(VLOOKUP($A42,Assets!$A:$C,2,FALSE())=0,"",VLOOKUP($A42,Assets!$A:$C,2,FALSE()))</f>
        <v>Software</v>
      </c>
      <c r="C42" s="25" t="str">
        <f>IF(VLOOKUP($A42,Assets!$A:$C,3,FALSE())=0,"",VLOOKUP($A42,Assets!$A:$C,3,FALSE()))</f>
        <v>Windows 10 OS on staff workstations</v>
      </c>
      <c r="D42" s="10">
        <v>4</v>
      </c>
      <c r="E42" s="8" t="str">
        <f>_xlfn.IFNA(VLOOKUP(_xlfn.CONCAT("T",E$1,"V",$D42,"A",$A42),Vulnerabilities!$G:$G,1,FALSE()),"")</f>
        <v/>
      </c>
      <c r="F42" s="8" t="str">
        <f>_xlfn.IFNA(VLOOKUP(_xlfn.CONCAT("T",F$1,"V",$D42,"A",$A42),Vulnerabilities!$G:$G,1,FALSE()),"")</f>
        <v/>
      </c>
      <c r="G42" s="8" t="str">
        <f>_xlfn.IFNA(VLOOKUP(_xlfn.CONCAT("T",G$1,"V",$D42,"A",$A42),Vulnerabilities!$G:$G,1,FALSE()),"")</f>
        <v/>
      </c>
      <c r="H42" s="8" t="str">
        <f>_xlfn.IFNA(VLOOKUP(_xlfn.CONCAT("T",H$1,"V",$D42,"A",$A42),Vulnerabilities!$G:$G,1,FALSE()),"")</f>
        <v/>
      </c>
      <c r="I42" s="8" t="str">
        <f>_xlfn.IFNA(VLOOKUP(_xlfn.CONCAT("T",I$1,"V",$D42,"A",$A42),Vulnerabilities!$G:$G,1,FALSE()),"")</f>
        <v/>
      </c>
      <c r="J42" s="8" t="str">
        <f>_xlfn.IFNA(VLOOKUP(_xlfn.CONCAT("T",J$1,"V",$D42,"A",$A42),Vulnerabilities!$G:$G,1,FALSE()),"")</f>
        <v/>
      </c>
      <c r="K42" s="8" t="str">
        <f>_xlfn.IFNA(VLOOKUP(_xlfn.CONCAT("T",K$1,"V",$D42,"A",$A42),Vulnerabilities!$G:$G,1,FALSE()),"")</f>
        <v/>
      </c>
      <c r="L42" s="8" t="str">
        <f>_xlfn.IFNA(VLOOKUP(_xlfn.CONCAT("T",L$1,"V",$D42,"A",$A42),Vulnerabilities!$G:$G,1,FALSE()),"")</f>
        <v/>
      </c>
      <c r="M42" s="8" t="str">
        <f>_xlfn.IFNA(VLOOKUP(_xlfn.CONCAT("T",M$1,"V",$D42,"A",$A42),Vulnerabilities!$G:$G,1,FALSE()),"")</f>
        <v/>
      </c>
      <c r="N42" s="8" t="str">
        <f>_xlfn.IFNA(VLOOKUP(_xlfn.CONCAT("T",N$1,"V",$D42,"A",$A42),Vulnerabilities!$G:$G,1,FALSE()),"")</f>
        <v/>
      </c>
      <c r="O42" s="8" t="str">
        <f>_xlfn.IFNA(VLOOKUP(_xlfn.CONCAT("T",O$1,"V",$D42,"A",$A42),Vulnerabilities!$G:$G,1,FALSE()),"")</f>
        <v/>
      </c>
      <c r="P42" s="8" t="str">
        <f>_xlfn.IFNA(VLOOKUP(_xlfn.CONCAT("T",P$1,"V",$D42,"A",$A42),Vulnerabilities!$G:$G,1,FALSE()),"")</f>
        <v/>
      </c>
    </row>
    <row r="43" spans="1:16" x14ac:dyDescent="0.45">
      <c r="A43" s="23">
        <f t="shared" si="0"/>
        <v>11</v>
      </c>
      <c r="B43" s="24" t="str">
        <f>IF(VLOOKUP($A43,Assets!$A:$C,2,FALSE())=0,"",VLOOKUP($A43,Assets!$A:$C,2,FALSE()))</f>
        <v>Software</v>
      </c>
      <c r="C43" s="25" t="str">
        <f>IF(VLOOKUP($A43,Assets!$A:$C,3,FALSE())=0,"",VLOOKUP($A43,Assets!$A:$C,3,FALSE()))</f>
        <v>Accounting software (client data processing)</v>
      </c>
      <c r="D43" s="10">
        <v>1</v>
      </c>
      <c r="E43" s="8" t="str">
        <f>_xlfn.IFNA(VLOOKUP(_xlfn.CONCAT("T",E$1,"V",$D43,"A",$A43),Vulnerabilities!$G:$G,1,FALSE()),"")</f>
        <v/>
      </c>
      <c r="F43" s="8" t="str">
        <f>_xlfn.IFNA(VLOOKUP(_xlfn.CONCAT("T",F$1,"V",$D43,"A",$A43),Vulnerabilities!$G:$G,1,FALSE()),"")</f>
        <v/>
      </c>
      <c r="G43" s="8" t="str">
        <f>_xlfn.IFNA(VLOOKUP(_xlfn.CONCAT("T",G$1,"V",$D43,"A",$A43),Vulnerabilities!$G:$G,1,FALSE()),"")</f>
        <v/>
      </c>
      <c r="H43" s="8" t="str">
        <f>_xlfn.IFNA(VLOOKUP(_xlfn.CONCAT("T",H$1,"V",$D43,"A",$A43),Vulnerabilities!$G:$G,1,FALSE()),"")</f>
        <v/>
      </c>
      <c r="I43" s="8" t="str">
        <f>_xlfn.IFNA(VLOOKUP(_xlfn.CONCAT("T",I$1,"V",$D43,"A",$A43),Vulnerabilities!$G:$G,1,FALSE()),"")</f>
        <v/>
      </c>
      <c r="J43" s="8" t="str">
        <f>_xlfn.IFNA(VLOOKUP(_xlfn.CONCAT("T",J$1,"V",$D43,"A",$A43),Vulnerabilities!$G:$G,1,FALSE()),"")</f>
        <v/>
      </c>
      <c r="K43" s="8" t="str">
        <f>_xlfn.IFNA(VLOOKUP(_xlfn.CONCAT("T",K$1,"V",$D43,"A",$A43),Vulnerabilities!$G:$G,1,FALSE()),"")</f>
        <v/>
      </c>
      <c r="L43" s="8" t="str">
        <f>_xlfn.IFNA(VLOOKUP(_xlfn.CONCAT("T",L$1,"V",$D43,"A",$A43),Vulnerabilities!$G:$G,1,FALSE()),"")</f>
        <v/>
      </c>
      <c r="M43" s="8" t="str">
        <f>_xlfn.IFNA(VLOOKUP(_xlfn.CONCAT("T",M$1,"V",$D43,"A",$A43),Vulnerabilities!$G:$G,1,FALSE()),"")</f>
        <v>T9V1A11</v>
      </c>
      <c r="N43" s="8" t="str">
        <f>_xlfn.IFNA(VLOOKUP(_xlfn.CONCAT("T",N$1,"V",$D43,"A",$A43),Vulnerabilities!$G:$G,1,FALSE()),"")</f>
        <v/>
      </c>
      <c r="O43" s="8" t="str">
        <f>_xlfn.IFNA(VLOOKUP(_xlfn.CONCAT("T",O$1,"V",$D43,"A",$A43),Vulnerabilities!$G:$G,1,FALSE()),"")</f>
        <v/>
      </c>
      <c r="P43" s="8" t="str">
        <f>_xlfn.IFNA(VLOOKUP(_xlfn.CONCAT("T",P$1,"V",$D43,"A",$A43),Vulnerabilities!$G:$G,1,FALSE()),"")</f>
        <v/>
      </c>
    </row>
    <row r="44" spans="1:16" x14ac:dyDescent="0.45">
      <c r="A44" s="23">
        <f t="shared" si="0"/>
        <v>11</v>
      </c>
      <c r="B44" s="24" t="str">
        <f>IF(VLOOKUP($A44,Assets!$A:$C,2,FALSE())=0,"",VLOOKUP($A44,Assets!$A:$C,2,FALSE()))</f>
        <v>Software</v>
      </c>
      <c r="C44" s="25" t="str">
        <f>IF(VLOOKUP($A44,Assets!$A:$C,3,FALSE())=0,"",VLOOKUP($A44,Assets!$A:$C,3,FALSE()))</f>
        <v>Accounting software (client data processing)</v>
      </c>
      <c r="D44" s="10">
        <v>2</v>
      </c>
      <c r="E44" s="8" t="str">
        <f>_xlfn.IFNA(VLOOKUP(_xlfn.CONCAT("T",E$1,"V",$D44,"A",$A44),Vulnerabilities!$G:$G,1,FALSE()),"")</f>
        <v/>
      </c>
      <c r="F44" s="8" t="str">
        <f>_xlfn.IFNA(VLOOKUP(_xlfn.CONCAT("T",F$1,"V",$D44,"A",$A44),Vulnerabilities!$G:$G,1,FALSE()),"")</f>
        <v/>
      </c>
      <c r="G44" s="8" t="str">
        <f>_xlfn.IFNA(VLOOKUP(_xlfn.CONCAT("T",G$1,"V",$D44,"A",$A44),Vulnerabilities!$G:$G,1,FALSE()),"")</f>
        <v/>
      </c>
      <c r="H44" s="8" t="str">
        <f>_xlfn.IFNA(VLOOKUP(_xlfn.CONCAT("T",H$1,"V",$D44,"A",$A44),Vulnerabilities!$G:$G,1,FALSE()),"")</f>
        <v/>
      </c>
      <c r="I44" s="8" t="str">
        <f>_xlfn.IFNA(VLOOKUP(_xlfn.CONCAT("T",I$1,"V",$D44,"A",$A44),Vulnerabilities!$G:$G,1,FALSE()),"")</f>
        <v/>
      </c>
      <c r="J44" s="8" t="str">
        <f>_xlfn.IFNA(VLOOKUP(_xlfn.CONCAT("T",J$1,"V",$D44,"A",$A44),Vulnerabilities!$G:$G,1,FALSE()),"")</f>
        <v/>
      </c>
      <c r="K44" s="8" t="str">
        <f>_xlfn.IFNA(VLOOKUP(_xlfn.CONCAT("T",K$1,"V",$D44,"A",$A44),Vulnerabilities!$G:$G,1,FALSE()),"")</f>
        <v/>
      </c>
      <c r="L44" s="8" t="str">
        <f>_xlfn.IFNA(VLOOKUP(_xlfn.CONCAT("T",L$1,"V",$D44,"A",$A44),Vulnerabilities!$G:$G,1,FALSE()),"")</f>
        <v/>
      </c>
      <c r="M44" s="8" t="str">
        <f>_xlfn.IFNA(VLOOKUP(_xlfn.CONCAT("T",M$1,"V",$D44,"A",$A44),Vulnerabilities!$G:$G,1,FALSE()),"")</f>
        <v/>
      </c>
      <c r="N44" s="8" t="str">
        <f>_xlfn.IFNA(VLOOKUP(_xlfn.CONCAT("T",N$1,"V",$D44,"A",$A44),Vulnerabilities!$G:$G,1,FALSE()),"")</f>
        <v/>
      </c>
      <c r="O44" s="8" t="str">
        <f>_xlfn.IFNA(VLOOKUP(_xlfn.CONCAT("T",O$1,"V",$D44,"A",$A44),Vulnerabilities!$G:$G,1,FALSE()),"")</f>
        <v/>
      </c>
      <c r="P44" s="8" t="str">
        <f>_xlfn.IFNA(VLOOKUP(_xlfn.CONCAT("T",P$1,"V",$D44,"A",$A44),Vulnerabilities!$G:$G,1,FALSE()),"")</f>
        <v/>
      </c>
    </row>
    <row r="45" spans="1:16" x14ac:dyDescent="0.45">
      <c r="A45" s="23">
        <f t="shared" si="0"/>
        <v>11</v>
      </c>
      <c r="B45" s="24" t="str">
        <f>IF(VLOOKUP($A45,Assets!$A:$C,2,FALSE())=0,"",VLOOKUP($A45,Assets!$A:$C,2,FALSE()))</f>
        <v>Software</v>
      </c>
      <c r="C45" s="25" t="str">
        <f>IF(VLOOKUP($A45,Assets!$A:$C,3,FALSE())=0,"",VLOOKUP($A45,Assets!$A:$C,3,FALSE()))</f>
        <v>Accounting software (client data processing)</v>
      </c>
      <c r="D45" s="10">
        <v>3</v>
      </c>
      <c r="E45" s="8" t="str">
        <f>_xlfn.IFNA(VLOOKUP(_xlfn.CONCAT("T",E$1,"V",$D45,"A",$A45),Vulnerabilities!$G:$G,1,FALSE()),"")</f>
        <v/>
      </c>
      <c r="F45" s="8" t="str">
        <f>_xlfn.IFNA(VLOOKUP(_xlfn.CONCAT("T",F$1,"V",$D45,"A",$A45),Vulnerabilities!$G:$G,1,FALSE()),"")</f>
        <v/>
      </c>
      <c r="G45" s="8" t="str">
        <f>_xlfn.IFNA(VLOOKUP(_xlfn.CONCAT("T",G$1,"V",$D45,"A",$A45),Vulnerabilities!$G:$G,1,FALSE()),"")</f>
        <v/>
      </c>
      <c r="H45" s="8" t="str">
        <f>_xlfn.IFNA(VLOOKUP(_xlfn.CONCAT("T",H$1,"V",$D45,"A",$A45),Vulnerabilities!$G:$G,1,FALSE()),"")</f>
        <v/>
      </c>
      <c r="I45" s="8" t="str">
        <f>_xlfn.IFNA(VLOOKUP(_xlfn.CONCAT("T",I$1,"V",$D45,"A",$A45),Vulnerabilities!$G:$G,1,FALSE()),"")</f>
        <v/>
      </c>
      <c r="J45" s="8" t="str">
        <f>_xlfn.IFNA(VLOOKUP(_xlfn.CONCAT("T",J$1,"V",$D45,"A",$A45),Vulnerabilities!$G:$G,1,FALSE()),"")</f>
        <v/>
      </c>
      <c r="K45" s="8" t="str">
        <f>_xlfn.IFNA(VLOOKUP(_xlfn.CONCAT("T",K$1,"V",$D45,"A",$A45),Vulnerabilities!$G:$G,1,FALSE()),"")</f>
        <v/>
      </c>
      <c r="L45" s="8" t="str">
        <f>_xlfn.IFNA(VLOOKUP(_xlfn.CONCAT("T",L$1,"V",$D45,"A",$A45),Vulnerabilities!$G:$G,1,FALSE()),"")</f>
        <v/>
      </c>
      <c r="M45" s="8" t="str">
        <f>_xlfn.IFNA(VLOOKUP(_xlfn.CONCAT("T",M$1,"V",$D45,"A",$A45),Vulnerabilities!$G:$G,1,FALSE()),"")</f>
        <v/>
      </c>
      <c r="N45" s="8" t="str">
        <f>_xlfn.IFNA(VLOOKUP(_xlfn.CONCAT("T",N$1,"V",$D45,"A",$A45),Vulnerabilities!$G:$G,1,FALSE()),"")</f>
        <v/>
      </c>
      <c r="O45" s="8" t="str">
        <f>_xlfn.IFNA(VLOOKUP(_xlfn.CONCAT("T",O$1,"V",$D45,"A",$A45),Vulnerabilities!$G:$G,1,FALSE()),"")</f>
        <v/>
      </c>
      <c r="P45" s="8" t="str">
        <f>_xlfn.IFNA(VLOOKUP(_xlfn.CONCAT("T",P$1,"V",$D45,"A",$A45),Vulnerabilities!$G:$G,1,FALSE()),"")</f>
        <v/>
      </c>
    </row>
    <row r="46" spans="1:16" x14ac:dyDescent="0.45">
      <c r="A46" s="23">
        <f t="shared" si="0"/>
        <v>11</v>
      </c>
      <c r="B46" s="24" t="str">
        <f>IF(VLOOKUP($A46,Assets!$A:$C,2,FALSE())=0,"",VLOOKUP($A46,Assets!$A:$C,2,FALSE()))</f>
        <v>Software</v>
      </c>
      <c r="C46" s="25" t="str">
        <f>IF(VLOOKUP($A46,Assets!$A:$C,3,FALSE())=0,"",VLOOKUP($A46,Assets!$A:$C,3,FALSE()))</f>
        <v>Accounting software (client data processing)</v>
      </c>
      <c r="D46" s="10">
        <v>4</v>
      </c>
      <c r="E46" s="8" t="str">
        <f>_xlfn.IFNA(VLOOKUP(_xlfn.CONCAT("T",E$1,"V",$D46,"A",$A46),Vulnerabilities!$G:$G,1,FALSE()),"")</f>
        <v/>
      </c>
      <c r="F46" s="8" t="str">
        <f>_xlfn.IFNA(VLOOKUP(_xlfn.CONCAT("T",F$1,"V",$D46,"A",$A46),Vulnerabilities!$G:$G,1,FALSE()),"")</f>
        <v/>
      </c>
      <c r="G46" s="8" t="str">
        <f>_xlfn.IFNA(VLOOKUP(_xlfn.CONCAT("T",G$1,"V",$D46,"A",$A46),Vulnerabilities!$G:$G,1,FALSE()),"")</f>
        <v/>
      </c>
      <c r="H46" s="8" t="str">
        <f>_xlfn.IFNA(VLOOKUP(_xlfn.CONCAT("T",H$1,"V",$D46,"A",$A46),Vulnerabilities!$G:$G,1,FALSE()),"")</f>
        <v/>
      </c>
      <c r="I46" s="8" t="str">
        <f>_xlfn.IFNA(VLOOKUP(_xlfn.CONCAT("T",I$1,"V",$D46,"A",$A46),Vulnerabilities!$G:$G,1,FALSE()),"")</f>
        <v/>
      </c>
      <c r="J46" s="8" t="str">
        <f>_xlfn.IFNA(VLOOKUP(_xlfn.CONCAT("T",J$1,"V",$D46,"A",$A46),Vulnerabilities!$G:$G,1,FALSE()),"")</f>
        <v/>
      </c>
      <c r="K46" s="8" t="str">
        <f>_xlfn.IFNA(VLOOKUP(_xlfn.CONCAT("T",K$1,"V",$D46,"A",$A46),Vulnerabilities!$G:$G,1,FALSE()),"")</f>
        <v/>
      </c>
      <c r="L46" s="8" t="str">
        <f>_xlfn.IFNA(VLOOKUP(_xlfn.CONCAT("T",L$1,"V",$D46,"A",$A46),Vulnerabilities!$G:$G,1,FALSE()),"")</f>
        <v/>
      </c>
      <c r="M46" s="8" t="str">
        <f>_xlfn.IFNA(VLOOKUP(_xlfn.CONCAT("T",M$1,"V",$D46,"A",$A46),Vulnerabilities!$G:$G,1,FALSE()),"")</f>
        <v/>
      </c>
      <c r="N46" s="8" t="str">
        <f>_xlfn.IFNA(VLOOKUP(_xlfn.CONCAT("T",N$1,"V",$D46,"A",$A46),Vulnerabilities!$G:$G,1,FALSE()),"")</f>
        <v/>
      </c>
      <c r="O46" s="8" t="str">
        <f>_xlfn.IFNA(VLOOKUP(_xlfn.CONCAT("T",O$1,"V",$D46,"A",$A46),Vulnerabilities!$G:$G,1,FALSE()),"")</f>
        <v/>
      </c>
      <c r="P46" s="8" t="str">
        <f>_xlfn.IFNA(VLOOKUP(_xlfn.CONCAT("T",P$1,"V",$D46,"A",$A46),Vulnerabilities!$G:$G,1,FALSE()),"")</f>
        <v/>
      </c>
    </row>
    <row r="47" spans="1:16" x14ac:dyDescent="0.45">
      <c r="A47" s="23">
        <f t="shared" si="0"/>
        <v>12</v>
      </c>
      <c r="B47" s="24" t="str">
        <f>IF(VLOOKUP($A47,Assets!$A:$C,2,FALSE())=0,"",VLOOKUP($A47,Assets!$A:$C,2,FALSE()))</f>
        <v>People</v>
      </c>
      <c r="C47" s="25" t="str">
        <f>IF(VLOOKUP($A47,Assets!$A:$C,3,FALSE())=0,"",VLOOKUP($A47,Assets!$A:$C,3,FALSE()))</f>
        <v>IT support officer</v>
      </c>
      <c r="D47" s="10">
        <v>1</v>
      </c>
      <c r="E47" s="8" t="str">
        <f>_xlfn.IFNA(VLOOKUP(_xlfn.CONCAT("T",E$1,"V",$D47,"A",$A47),Vulnerabilities!$G:$G,1,FALSE()),"")</f>
        <v/>
      </c>
      <c r="F47" s="8" t="str">
        <f>_xlfn.IFNA(VLOOKUP(_xlfn.CONCAT("T",F$1,"V",$D47,"A",$A47),Vulnerabilities!$G:$G,1,FALSE()),"")</f>
        <v/>
      </c>
      <c r="G47" s="8" t="str">
        <f>_xlfn.IFNA(VLOOKUP(_xlfn.CONCAT("T",G$1,"V",$D47,"A",$A47),Vulnerabilities!$G:$G,1,FALSE()),"")</f>
        <v/>
      </c>
      <c r="H47" s="8" t="str">
        <f>_xlfn.IFNA(VLOOKUP(_xlfn.CONCAT("T",H$1,"V",$D47,"A",$A47),Vulnerabilities!$G:$G,1,FALSE()),"")</f>
        <v/>
      </c>
      <c r="I47" s="8" t="str">
        <f>_xlfn.IFNA(VLOOKUP(_xlfn.CONCAT("T",I$1,"V",$D47,"A",$A47),Vulnerabilities!$G:$G,1,FALSE()),"")</f>
        <v/>
      </c>
      <c r="J47" s="8" t="str">
        <f>_xlfn.IFNA(VLOOKUP(_xlfn.CONCAT("T",J$1,"V",$D47,"A",$A47),Vulnerabilities!$G:$G,1,FALSE()),"")</f>
        <v/>
      </c>
      <c r="K47" s="8" t="str">
        <f>_xlfn.IFNA(VLOOKUP(_xlfn.CONCAT("T",K$1,"V",$D47,"A",$A47),Vulnerabilities!$G:$G,1,FALSE()),"")</f>
        <v/>
      </c>
      <c r="L47" s="8" t="str">
        <f>_xlfn.IFNA(VLOOKUP(_xlfn.CONCAT("T",L$1,"V",$D47,"A",$A47),Vulnerabilities!$G:$G,1,FALSE()),"")</f>
        <v/>
      </c>
      <c r="M47" s="8" t="str">
        <f>_xlfn.IFNA(VLOOKUP(_xlfn.CONCAT("T",M$1,"V",$D47,"A",$A47),Vulnerabilities!$G:$G,1,FALSE()),"")</f>
        <v/>
      </c>
      <c r="N47" s="8" t="str">
        <f>_xlfn.IFNA(VLOOKUP(_xlfn.CONCAT("T",N$1,"V",$D47,"A",$A47),Vulnerabilities!$G:$G,1,FALSE()),"")</f>
        <v/>
      </c>
      <c r="O47" s="8" t="str">
        <f>_xlfn.IFNA(VLOOKUP(_xlfn.CONCAT("T",O$1,"V",$D47,"A",$A47),Vulnerabilities!$G:$G,1,FALSE()),"")</f>
        <v/>
      </c>
      <c r="P47" s="8" t="str">
        <f>_xlfn.IFNA(VLOOKUP(_xlfn.CONCAT("T",P$1,"V",$D47,"A",$A47),Vulnerabilities!$G:$G,1,FALSE()),"")</f>
        <v/>
      </c>
    </row>
    <row r="48" spans="1:16" x14ac:dyDescent="0.45">
      <c r="A48" s="23">
        <f t="shared" si="0"/>
        <v>12</v>
      </c>
      <c r="B48" s="24" t="str">
        <f>IF(VLOOKUP($A48,Assets!$A:$C,2,FALSE())=0,"",VLOOKUP($A48,Assets!$A:$C,2,FALSE()))</f>
        <v>People</v>
      </c>
      <c r="C48" s="25" t="str">
        <f>IF(VLOOKUP($A48,Assets!$A:$C,3,FALSE())=0,"",VLOOKUP($A48,Assets!$A:$C,3,FALSE()))</f>
        <v>IT support officer</v>
      </c>
      <c r="D48" s="10">
        <v>2</v>
      </c>
      <c r="E48" s="8" t="str">
        <f>_xlfn.IFNA(VLOOKUP(_xlfn.CONCAT("T",E$1,"V",$D48,"A",$A48),Vulnerabilities!$G:$G,1,FALSE()),"")</f>
        <v/>
      </c>
      <c r="F48" s="8" t="str">
        <f>_xlfn.IFNA(VLOOKUP(_xlfn.CONCAT("T",F$1,"V",$D48,"A",$A48),Vulnerabilities!$G:$G,1,FALSE()),"")</f>
        <v/>
      </c>
      <c r="G48" s="8" t="str">
        <f>_xlfn.IFNA(VLOOKUP(_xlfn.CONCAT("T",G$1,"V",$D48,"A",$A48),Vulnerabilities!$G:$G,1,FALSE()),"")</f>
        <v/>
      </c>
      <c r="H48" s="8" t="str">
        <f>_xlfn.IFNA(VLOOKUP(_xlfn.CONCAT("T",H$1,"V",$D48,"A",$A48),Vulnerabilities!$G:$G,1,FALSE()),"")</f>
        <v/>
      </c>
      <c r="I48" s="8" t="str">
        <f>_xlfn.IFNA(VLOOKUP(_xlfn.CONCAT("T",I$1,"V",$D48,"A",$A48),Vulnerabilities!$G:$G,1,FALSE()),"")</f>
        <v/>
      </c>
      <c r="J48" s="8" t="str">
        <f>_xlfn.IFNA(VLOOKUP(_xlfn.CONCAT("T",J$1,"V",$D48,"A",$A48),Vulnerabilities!$G:$G,1,FALSE()),"")</f>
        <v/>
      </c>
      <c r="K48" s="8" t="str">
        <f>_xlfn.IFNA(VLOOKUP(_xlfn.CONCAT("T",K$1,"V",$D48,"A",$A48),Vulnerabilities!$G:$G,1,FALSE()),"")</f>
        <v/>
      </c>
      <c r="L48" s="8" t="str">
        <f>_xlfn.IFNA(VLOOKUP(_xlfn.CONCAT("T",L$1,"V",$D48,"A",$A48),Vulnerabilities!$G:$G,1,FALSE()),"")</f>
        <v/>
      </c>
      <c r="M48" s="8" t="str">
        <f>_xlfn.IFNA(VLOOKUP(_xlfn.CONCAT("T",M$1,"V",$D48,"A",$A48),Vulnerabilities!$G:$G,1,FALSE()),"")</f>
        <v/>
      </c>
      <c r="N48" s="8" t="str">
        <f>_xlfn.IFNA(VLOOKUP(_xlfn.CONCAT("T",N$1,"V",$D48,"A",$A48),Vulnerabilities!$G:$G,1,FALSE()),"")</f>
        <v/>
      </c>
      <c r="O48" s="8" t="str">
        <f>_xlfn.IFNA(VLOOKUP(_xlfn.CONCAT("T",O$1,"V",$D48,"A",$A48),Vulnerabilities!$G:$G,1,FALSE()),"")</f>
        <v/>
      </c>
      <c r="P48" s="8" t="str">
        <f>_xlfn.IFNA(VLOOKUP(_xlfn.CONCAT("T",P$1,"V",$D48,"A",$A48),Vulnerabilities!$G:$G,1,FALSE()),"")</f>
        <v/>
      </c>
    </row>
    <row r="49" spans="1:16" x14ac:dyDescent="0.45">
      <c r="A49" s="23">
        <f t="shared" si="0"/>
        <v>12</v>
      </c>
      <c r="B49" s="24" t="str">
        <f>IF(VLOOKUP($A49,Assets!$A:$C,2,FALSE())=0,"",VLOOKUP($A49,Assets!$A:$C,2,FALSE()))</f>
        <v>People</v>
      </c>
      <c r="C49" s="25" t="str">
        <f>IF(VLOOKUP($A49,Assets!$A:$C,3,FALSE())=0,"",VLOOKUP($A49,Assets!$A:$C,3,FALSE()))</f>
        <v>IT support officer</v>
      </c>
      <c r="D49" s="10">
        <v>3</v>
      </c>
      <c r="E49" s="8" t="str">
        <f>_xlfn.IFNA(VLOOKUP(_xlfn.CONCAT("T",E$1,"V",$D49,"A",$A49),Vulnerabilities!$G:$G,1,FALSE()),"")</f>
        <v/>
      </c>
      <c r="F49" s="8" t="str">
        <f>_xlfn.IFNA(VLOOKUP(_xlfn.CONCAT("T",F$1,"V",$D49,"A",$A49),Vulnerabilities!$G:$G,1,FALSE()),"")</f>
        <v/>
      </c>
      <c r="G49" s="8" t="str">
        <f>_xlfn.IFNA(VLOOKUP(_xlfn.CONCAT("T",G$1,"V",$D49,"A",$A49),Vulnerabilities!$G:$G,1,FALSE()),"")</f>
        <v/>
      </c>
      <c r="H49" s="8" t="str">
        <f>_xlfn.IFNA(VLOOKUP(_xlfn.CONCAT("T",H$1,"V",$D49,"A",$A49),Vulnerabilities!$G:$G,1,FALSE()),"")</f>
        <v/>
      </c>
      <c r="I49" s="8" t="str">
        <f>_xlfn.IFNA(VLOOKUP(_xlfn.CONCAT("T",I$1,"V",$D49,"A",$A49),Vulnerabilities!$G:$G,1,FALSE()),"")</f>
        <v/>
      </c>
      <c r="J49" s="8" t="str">
        <f>_xlfn.IFNA(VLOOKUP(_xlfn.CONCAT("T",J$1,"V",$D49,"A",$A49),Vulnerabilities!$G:$G,1,FALSE()),"")</f>
        <v/>
      </c>
      <c r="K49" s="8" t="str">
        <f>_xlfn.IFNA(VLOOKUP(_xlfn.CONCAT("T",K$1,"V",$D49,"A",$A49),Vulnerabilities!$G:$G,1,FALSE()),"")</f>
        <v/>
      </c>
      <c r="L49" s="8" t="str">
        <f>_xlfn.IFNA(VLOOKUP(_xlfn.CONCAT("T",L$1,"V",$D49,"A",$A49),Vulnerabilities!$G:$G,1,FALSE()),"")</f>
        <v/>
      </c>
      <c r="M49" s="8" t="str">
        <f>_xlfn.IFNA(VLOOKUP(_xlfn.CONCAT("T",M$1,"V",$D49,"A",$A49),Vulnerabilities!$G:$G,1,FALSE()),"")</f>
        <v/>
      </c>
      <c r="N49" s="8" t="str">
        <f>_xlfn.IFNA(VLOOKUP(_xlfn.CONCAT("T",N$1,"V",$D49,"A",$A49),Vulnerabilities!$G:$G,1,FALSE()),"")</f>
        <v/>
      </c>
      <c r="O49" s="8" t="str">
        <f>_xlfn.IFNA(VLOOKUP(_xlfn.CONCAT("T",O$1,"V",$D49,"A",$A49),Vulnerabilities!$G:$G,1,FALSE()),"")</f>
        <v/>
      </c>
      <c r="P49" s="8" t="str">
        <f>_xlfn.IFNA(VLOOKUP(_xlfn.CONCAT("T",P$1,"V",$D49,"A",$A49),Vulnerabilities!$G:$G,1,FALSE()),"")</f>
        <v/>
      </c>
    </row>
    <row r="50" spans="1:16" x14ac:dyDescent="0.45">
      <c r="A50" s="23">
        <f t="shared" si="0"/>
        <v>12</v>
      </c>
      <c r="B50" s="24" t="str">
        <f>IF(VLOOKUP($A50,Assets!$A:$C,2,FALSE())=0,"",VLOOKUP($A50,Assets!$A:$C,2,FALSE()))</f>
        <v>People</v>
      </c>
      <c r="C50" s="25" t="str">
        <f>IF(VLOOKUP($A50,Assets!$A:$C,3,FALSE())=0,"",VLOOKUP($A50,Assets!$A:$C,3,FALSE()))</f>
        <v>IT support officer</v>
      </c>
      <c r="D50" s="10">
        <v>4</v>
      </c>
      <c r="E50" s="8" t="str">
        <f>_xlfn.IFNA(VLOOKUP(_xlfn.CONCAT("T",E$1,"V",$D50,"A",$A50),Vulnerabilities!$G:$G,1,FALSE()),"")</f>
        <v/>
      </c>
      <c r="F50" s="8" t="str">
        <f>_xlfn.IFNA(VLOOKUP(_xlfn.CONCAT("T",F$1,"V",$D50,"A",$A50),Vulnerabilities!$G:$G,1,FALSE()),"")</f>
        <v/>
      </c>
      <c r="G50" s="8" t="str">
        <f>_xlfn.IFNA(VLOOKUP(_xlfn.CONCAT("T",G$1,"V",$D50,"A",$A50),Vulnerabilities!$G:$G,1,FALSE()),"")</f>
        <v/>
      </c>
      <c r="H50" s="8" t="str">
        <f>_xlfn.IFNA(VLOOKUP(_xlfn.CONCAT("T",H$1,"V",$D50,"A",$A50),Vulnerabilities!$G:$G,1,FALSE()),"")</f>
        <v/>
      </c>
      <c r="I50" s="8" t="str">
        <f>_xlfn.IFNA(VLOOKUP(_xlfn.CONCAT("T",I$1,"V",$D50,"A",$A50),Vulnerabilities!$G:$G,1,FALSE()),"")</f>
        <v/>
      </c>
      <c r="J50" s="8" t="str">
        <f>_xlfn.IFNA(VLOOKUP(_xlfn.CONCAT("T",J$1,"V",$D50,"A",$A50),Vulnerabilities!$G:$G,1,FALSE()),"")</f>
        <v/>
      </c>
      <c r="K50" s="8" t="str">
        <f>_xlfn.IFNA(VLOOKUP(_xlfn.CONCAT("T",K$1,"V",$D50,"A",$A50),Vulnerabilities!$G:$G,1,FALSE()),"")</f>
        <v/>
      </c>
      <c r="L50" s="8" t="str">
        <f>_xlfn.IFNA(VLOOKUP(_xlfn.CONCAT("T",L$1,"V",$D50,"A",$A50),Vulnerabilities!$G:$G,1,FALSE()),"")</f>
        <v/>
      </c>
      <c r="M50" s="8" t="str">
        <f>_xlfn.IFNA(VLOOKUP(_xlfn.CONCAT("T",M$1,"V",$D50,"A",$A50),Vulnerabilities!$G:$G,1,FALSE()),"")</f>
        <v/>
      </c>
      <c r="N50" s="8" t="str">
        <f>_xlfn.IFNA(VLOOKUP(_xlfn.CONCAT("T",N$1,"V",$D50,"A",$A50),Vulnerabilities!$G:$G,1,FALSE()),"")</f>
        <v/>
      </c>
      <c r="O50" s="8" t="str">
        <f>_xlfn.IFNA(VLOOKUP(_xlfn.CONCAT("T",O$1,"V",$D50,"A",$A50),Vulnerabilities!$G:$G,1,FALSE()),"")</f>
        <v/>
      </c>
      <c r="P50" s="8" t="str">
        <f>_xlfn.IFNA(VLOOKUP(_xlfn.CONCAT("T",P$1,"V",$D50,"A",$A50),Vulnerabilities!$G:$G,1,FALSE()),"")</f>
        <v/>
      </c>
    </row>
    <row r="51" spans="1:16" x14ac:dyDescent="0.45">
      <c r="A51" s="23">
        <f t="shared" si="0"/>
        <v>13</v>
      </c>
      <c r="B51" s="24" t="str">
        <f>IF(VLOOKUP($A51,Assets!$A:$C,2,FALSE())=0,"",VLOOKUP($A51,Assets!$A:$C,2,FALSE()))</f>
        <v>People</v>
      </c>
      <c r="C51" s="25" t="str">
        <f>IF(VLOOKUP($A51,Assets!$A:$C,3,FALSE())=0,"",VLOOKUP($A51,Assets!$A:$C,3,FALSE()))</f>
        <v>Administrative staff (x2)</v>
      </c>
      <c r="D51" s="10">
        <v>1</v>
      </c>
      <c r="E51" s="8" t="str">
        <f>_xlfn.IFNA(VLOOKUP(_xlfn.CONCAT("T",E$1,"V",$D51,"A",$A51),Vulnerabilities!$G:$G,1,FALSE()),"")</f>
        <v>T1V1A13</v>
      </c>
      <c r="F51" s="8" t="str">
        <f>_xlfn.IFNA(VLOOKUP(_xlfn.CONCAT("T",F$1,"V",$D51,"A",$A51),Vulnerabilities!$G:$G,1,FALSE()),"")</f>
        <v/>
      </c>
      <c r="G51" s="8" t="str">
        <f>_xlfn.IFNA(VLOOKUP(_xlfn.CONCAT("T",G$1,"V",$D51,"A",$A51),Vulnerabilities!$G:$G,1,FALSE()),"")</f>
        <v/>
      </c>
      <c r="H51" s="8" t="str">
        <f>_xlfn.IFNA(VLOOKUP(_xlfn.CONCAT("T",H$1,"V",$D51,"A",$A51),Vulnerabilities!$G:$G,1,FALSE()),"")</f>
        <v/>
      </c>
      <c r="I51" s="8" t="str">
        <f>_xlfn.IFNA(VLOOKUP(_xlfn.CONCAT("T",I$1,"V",$D51,"A",$A51),Vulnerabilities!$G:$G,1,FALSE()),"")</f>
        <v/>
      </c>
      <c r="J51" s="8" t="str">
        <f>_xlfn.IFNA(VLOOKUP(_xlfn.CONCAT("T",J$1,"V",$D51,"A",$A51),Vulnerabilities!$G:$G,1,FALSE()),"")</f>
        <v/>
      </c>
      <c r="K51" s="8" t="str">
        <f>_xlfn.IFNA(VLOOKUP(_xlfn.CONCAT("T",K$1,"V",$D51,"A",$A51),Vulnerabilities!$G:$G,1,FALSE()),"")</f>
        <v/>
      </c>
      <c r="L51" s="8" t="str">
        <f>_xlfn.IFNA(VLOOKUP(_xlfn.CONCAT("T",L$1,"V",$D51,"A",$A51),Vulnerabilities!$G:$G,1,FALSE()),"")</f>
        <v/>
      </c>
      <c r="M51" s="8" t="str">
        <f>_xlfn.IFNA(VLOOKUP(_xlfn.CONCAT("T",M$1,"V",$D51,"A",$A51),Vulnerabilities!$G:$G,1,FALSE()),"")</f>
        <v/>
      </c>
      <c r="N51" s="8" t="str">
        <f>_xlfn.IFNA(VLOOKUP(_xlfn.CONCAT("T",N$1,"V",$D51,"A",$A51),Vulnerabilities!$G:$G,1,FALSE()),"")</f>
        <v/>
      </c>
      <c r="O51" s="8" t="str">
        <f>_xlfn.IFNA(VLOOKUP(_xlfn.CONCAT("T",O$1,"V",$D51,"A",$A51),Vulnerabilities!$G:$G,1,FALSE()),"")</f>
        <v/>
      </c>
      <c r="P51" s="8" t="str">
        <f>_xlfn.IFNA(VLOOKUP(_xlfn.CONCAT("T",P$1,"V",$D51,"A",$A51),Vulnerabilities!$G:$G,1,FALSE()),"")</f>
        <v/>
      </c>
    </row>
    <row r="52" spans="1:16" x14ac:dyDescent="0.45">
      <c r="A52" s="23">
        <f t="shared" si="0"/>
        <v>13</v>
      </c>
      <c r="B52" s="24" t="str">
        <f>IF(VLOOKUP($A52,Assets!$A:$C,2,FALSE())=0,"",VLOOKUP($A52,Assets!$A:$C,2,FALSE()))</f>
        <v>People</v>
      </c>
      <c r="C52" s="25" t="str">
        <f>IF(VLOOKUP($A52,Assets!$A:$C,3,FALSE())=0,"",VLOOKUP($A52,Assets!$A:$C,3,FALSE()))</f>
        <v>Administrative staff (x2)</v>
      </c>
      <c r="D52" s="10">
        <v>2</v>
      </c>
      <c r="E52" s="8" t="str">
        <f>_xlfn.IFNA(VLOOKUP(_xlfn.CONCAT("T",E$1,"V",$D52,"A",$A52),Vulnerabilities!$G:$G,1,FALSE()),"")</f>
        <v/>
      </c>
      <c r="F52" s="8" t="str">
        <f>_xlfn.IFNA(VLOOKUP(_xlfn.CONCAT("T",F$1,"V",$D52,"A",$A52),Vulnerabilities!$G:$G,1,FALSE()),"")</f>
        <v/>
      </c>
      <c r="G52" s="8" t="str">
        <f>_xlfn.IFNA(VLOOKUP(_xlfn.CONCAT("T",G$1,"V",$D52,"A",$A52),Vulnerabilities!$G:$G,1,FALSE()),"")</f>
        <v/>
      </c>
      <c r="H52" s="8" t="str">
        <f>_xlfn.IFNA(VLOOKUP(_xlfn.CONCAT("T",H$1,"V",$D52,"A",$A52),Vulnerabilities!$G:$G,1,FALSE()),"")</f>
        <v/>
      </c>
      <c r="I52" s="8" t="str">
        <f>_xlfn.IFNA(VLOOKUP(_xlfn.CONCAT("T",I$1,"V",$D52,"A",$A52),Vulnerabilities!$G:$G,1,FALSE()),"")</f>
        <v/>
      </c>
      <c r="J52" s="8" t="str">
        <f>_xlfn.IFNA(VLOOKUP(_xlfn.CONCAT("T",J$1,"V",$D52,"A",$A52),Vulnerabilities!$G:$G,1,FALSE()),"")</f>
        <v/>
      </c>
      <c r="K52" s="8" t="str">
        <f>_xlfn.IFNA(VLOOKUP(_xlfn.CONCAT("T",K$1,"V",$D52,"A",$A52),Vulnerabilities!$G:$G,1,FALSE()),"")</f>
        <v/>
      </c>
      <c r="L52" s="8" t="str">
        <f>_xlfn.IFNA(VLOOKUP(_xlfn.CONCAT("T",L$1,"V",$D52,"A",$A52),Vulnerabilities!$G:$G,1,FALSE()),"")</f>
        <v/>
      </c>
      <c r="M52" s="8" t="str">
        <f>_xlfn.IFNA(VLOOKUP(_xlfn.CONCAT("T",M$1,"V",$D52,"A",$A52),Vulnerabilities!$G:$G,1,FALSE()),"")</f>
        <v/>
      </c>
      <c r="N52" s="8" t="str">
        <f>_xlfn.IFNA(VLOOKUP(_xlfn.CONCAT("T",N$1,"V",$D52,"A",$A52),Vulnerabilities!$G:$G,1,FALSE()),"")</f>
        <v/>
      </c>
      <c r="O52" s="8" t="str">
        <f>_xlfn.IFNA(VLOOKUP(_xlfn.CONCAT("T",O$1,"V",$D52,"A",$A52),Vulnerabilities!$G:$G,1,FALSE()),"")</f>
        <v/>
      </c>
      <c r="P52" s="8" t="str">
        <f>_xlfn.IFNA(VLOOKUP(_xlfn.CONCAT("T",P$1,"V",$D52,"A",$A52),Vulnerabilities!$G:$G,1,FALSE()),"")</f>
        <v/>
      </c>
    </row>
    <row r="53" spans="1:16" x14ac:dyDescent="0.45">
      <c r="A53" s="23">
        <f t="shared" si="0"/>
        <v>13</v>
      </c>
      <c r="B53" s="24" t="str">
        <f>IF(VLOOKUP($A53,Assets!$A:$C,2,FALSE())=0,"",VLOOKUP($A53,Assets!$A:$C,2,FALSE()))</f>
        <v>People</v>
      </c>
      <c r="C53" s="25" t="str">
        <f>IF(VLOOKUP($A53,Assets!$A:$C,3,FALSE())=0,"",VLOOKUP($A53,Assets!$A:$C,3,FALSE()))</f>
        <v>Administrative staff (x2)</v>
      </c>
      <c r="D53" s="10">
        <v>3</v>
      </c>
      <c r="E53" s="8" t="str">
        <f>_xlfn.IFNA(VLOOKUP(_xlfn.CONCAT("T",E$1,"V",$D53,"A",$A53),Vulnerabilities!$G:$G,1,FALSE()),"")</f>
        <v/>
      </c>
      <c r="F53" s="8" t="str">
        <f>_xlfn.IFNA(VLOOKUP(_xlfn.CONCAT("T",F$1,"V",$D53,"A",$A53),Vulnerabilities!$G:$G,1,FALSE()),"")</f>
        <v/>
      </c>
      <c r="G53" s="8" t="str">
        <f>_xlfn.IFNA(VLOOKUP(_xlfn.CONCAT("T",G$1,"V",$D53,"A",$A53),Vulnerabilities!$G:$G,1,FALSE()),"")</f>
        <v/>
      </c>
      <c r="H53" s="8" t="str">
        <f>_xlfn.IFNA(VLOOKUP(_xlfn.CONCAT("T",H$1,"V",$D53,"A",$A53),Vulnerabilities!$G:$G,1,FALSE()),"")</f>
        <v/>
      </c>
      <c r="I53" s="8" t="str">
        <f>_xlfn.IFNA(VLOOKUP(_xlfn.CONCAT("T",I$1,"V",$D53,"A",$A53),Vulnerabilities!$G:$G,1,FALSE()),"")</f>
        <v/>
      </c>
      <c r="J53" s="8" t="str">
        <f>_xlfn.IFNA(VLOOKUP(_xlfn.CONCAT("T",J$1,"V",$D53,"A",$A53),Vulnerabilities!$G:$G,1,FALSE()),"")</f>
        <v/>
      </c>
      <c r="K53" s="8" t="str">
        <f>_xlfn.IFNA(VLOOKUP(_xlfn.CONCAT("T",K$1,"V",$D53,"A",$A53),Vulnerabilities!$G:$G,1,FALSE()),"")</f>
        <v/>
      </c>
      <c r="L53" s="8" t="str">
        <f>_xlfn.IFNA(VLOOKUP(_xlfn.CONCAT("T",L$1,"V",$D53,"A",$A53),Vulnerabilities!$G:$G,1,FALSE()),"")</f>
        <v/>
      </c>
      <c r="M53" s="8" t="str">
        <f>_xlfn.IFNA(VLOOKUP(_xlfn.CONCAT("T",M$1,"V",$D53,"A",$A53),Vulnerabilities!$G:$G,1,FALSE()),"")</f>
        <v/>
      </c>
      <c r="N53" s="8" t="str">
        <f>_xlfn.IFNA(VLOOKUP(_xlfn.CONCAT("T",N$1,"V",$D53,"A",$A53),Vulnerabilities!$G:$G,1,FALSE()),"")</f>
        <v/>
      </c>
      <c r="O53" s="8" t="str">
        <f>_xlfn.IFNA(VLOOKUP(_xlfn.CONCAT("T",O$1,"V",$D53,"A",$A53),Vulnerabilities!$G:$G,1,FALSE()),"")</f>
        <v/>
      </c>
      <c r="P53" s="8" t="str">
        <f>_xlfn.IFNA(VLOOKUP(_xlfn.CONCAT("T",P$1,"V",$D53,"A",$A53),Vulnerabilities!$G:$G,1,FALSE()),"")</f>
        <v/>
      </c>
    </row>
    <row r="54" spans="1:16" x14ac:dyDescent="0.45">
      <c r="A54" s="23">
        <f t="shared" si="0"/>
        <v>13</v>
      </c>
      <c r="B54" s="24" t="str">
        <f>IF(VLOOKUP($A54,Assets!$A:$C,2,FALSE())=0,"",VLOOKUP($A54,Assets!$A:$C,2,FALSE()))</f>
        <v>People</v>
      </c>
      <c r="C54" s="25" t="str">
        <f>IF(VLOOKUP($A54,Assets!$A:$C,3,FALSE())=0,"",VLOOKUP($A54,Assets!$A:$C,3,FALSE()))</f>
        <v>Administrative staff (x2)</v>
      </c>
      <c r="D54" s="10">
        <v>4</v>
      </c>
      <c r="E54" s="8" t="str">
        <f>_xlfn.IFNA(VLOOKUP(_xlfn.CONCAT("T",E$1,"V",$D54,"A",$A54),Vulnerabilities!$G:$G,1,FALSE()),"")</f>
        <v/>
      </c>
      <c r="F54" s="8" t="str">
        <f>_xlfn.IFNA(VLOOKUP(_xlfn.CONCAT("T",F$1,"V",$D54,"A",$A54),Vulnerabilities!$G:$G,1,FALSE()),"")</f>
        <v/>
      </c>
      <c r="G54" s="8" t="str">
        <f>_xlfn.IFNA(VLOOKUP(_xlfn.CONCAT("T",G$1,"V",$D54,"A",$A54),Vulnerabilities!$G:$G,1,FALSE()),"")</f>
        <v/>
      </c>
      <c r="H54" s="8" t="str">
        <f>_xlfn.IFNA(VLOOKUP(_xlfn.CONCAT("T",H$1,"V",$D54,"A",$A54),Vulnerabilities!$G:$G,1,FALSE()),"")</f>
        <v/>
      </c>
      <c r="I54" s="8" t="str">
        <f>_xlfn.IFNA(VLOOKUP(_xlfn.CONCAT("T",I$1,"V",$D54,"A",$A54),Vulnerabilities!$G:$G,1,FALSE()),"")</f>
        <v/>
      </c>
      <c r="J54" s="8" t="str">
        <f>_xlfn.IFNA(VLOOKUP(_xlfn.CONCAT("T",J$1,"V",$D54,"A",$A54),Vulnerabilities!$G:$G,1,FALSE()),"")</f>
        <v/>
      </c>
      <c r="K54" s="8" t="str">
        <f>_xlfn.IFNA(VLOOKUP(_xlfn.CONCAT("T",K$1,"V",$D54,"A",$A54),Vulnerabilities!$G:$G,1,FALSE()),"")</f>
        <v/>
      </c>
      <c r="L54" s="8" t="str">
        <f>_xlfn.IFNA(VLOOKUP(_xlfn.CONCAT("T",L$1,"V",$D54,"A",$A54),Vulnerabilities!$G:$G,1,FALSE()),"")</f>
        <v/>
      </c>
      <c r="M54" s="8" t="str">
        <f>_xlfn.IFNA(VLOOKUP(_xlfn.CONCAT("T",M$1,"V",$D54,"A",$A54),Vulnerabilities!$G:$G,1,FALSE()),"")</f>
        <v/>
      </c>
      <c r="N54" s="8" t="str">
        <f>_xlfn.IFNA(VLOOKUP(_xlfn.CONCAT("T",N$1,"V",$D54,"A",$A54),Vulnerabilities!$G:$G,1,FALSE()),"")</f>
        <v/>
      </c>
      <c r="O54" s="8" t="str">
        <f>_xlfn.IFNA(VLOOKUP(_xlfn.CONCAT("T",O$1,"V",$D54,"A",$A54),Vulnerabilities!$G:$G,1,FALSE()),"")</f>
        <v/>
      </c>
      <c r="P54" s="8" t="str">
        <f>_xlfn.IFNA(VLOOKUP(_xlfn.CONCAT("T",P$1,"V",$D54,"A",$A54),Vulnerabilities!$G:$G,1,FALSE()),"")</f>
        <v/>
      </c>
    </row>
    <row r="55" spans="1:16" x14ac:dyDescent="0.45">
      <c r="A55" s="23">
        <f t="shared" si="0"/>
        <v>14</v>
      </c>
      <c r="B55" s="24" t="str">
        <f>IF(VLOOKUP($A55,Assets!$A:$C,2,FALSE())=0,"",VLOOKUP($A55,Assets!$A:$C,2,FALSE()))</f>
        <v>People</v>
      </c>
      <c r="C55" s="25" t="str">
        <f>IF(VLOOKUP($A55,Assets!$A:$C,3,FALSE())=0,"",VLOOKUP($A55,Assets!$A:$C,3,FALSE()))</f>
        <v>Accountants (x5)</v>
      </c>
      <c r="D55" s="10">
        <v>1</v>
      </c>
      <c r="E55" s="8" t="str">
        <f>_xlfn.IFNA(VLOOKUP(_xlfn.CONCAT("T",E$1,"V",$D55,"A",$A55),Vulnerabilities!$G:$G,1,FALSE()),"")</f>
        <v/>
      </c>
      <c r="F55" s="8" t="str">
        <f>_xlfn.IFNA(VLOOKUP(_xlfn.CONCAT("T",F$1,"V",$D55,"A",$A55),Vulnerabilities!$G:$G,1,FALSE()),"")</f>
        <v/>
      </c>
      <c r="G55" s="8" t="str">
        <f>_xlfn.IFNA(VLOOKUP(_xlfn.CONCAT("T",G$1,"V",$D55,"A",$A55),Vulnerabilities!$G:$G,1,FALSE()),"")</f>
        <v/>
      </c>
      <c r="H55" s="8" t="str">
        <f>_xlfn.IFNA(VLOOKUP(_xlfn.CONCAT("T",H$1,"V",$D55,"A",$A55),Vulnerabilities!$G:$G,1,FALSE()),"")</f>
        <v/>
      </c>
      <c r="I55" s="8" t="str">
        <f>_xlfn.IFNA(VLOOKUP(_xlfn.CONCAT("T",I$1,"V",$D55,"A",$A55),Vulnerabilities!$G:$G,1,FALSE()),"")</f>
        <v/>
      </c>
      <c r="J55" s="8" t="str">
        <f>_xlfn.IFNA(VLOOKUP(_xlfn.CONCAT("T",J$1,"V",$D55,"A",$A55),Vulnerabilities!$G:$G,1,FALSE()),"")</f>
        <v/>
      </c>
      <c r="K55" s="8" t="str">
        <f>_xlfn.IFNA(VLOOKUP(_xlfn.CONCAT("T",K$1,"V",$D55,"A",$A55),Vulnerabilities!$G:$G,1,FALSE()),"")</f>
        <v/>
      </c>
      <c r="L55" s="8" t="str">
        <f>_xlfn.IFNA(VLOOKUP(_xlfn.CONCAT("T",L$1,"V",$D55,"A",$A55),Vulnerabilities!$G:$G,1,FALSE()),"")</f>
        <v/>
      </c>
      <c r="M55" s="8" t="str">
        <f>_xlfn.IFNA(VLOOKUP(_xlfn.CONCAT("T",M$1,"V",$D55,"A",$A55),Vulnerabilities!$G:$G,1,FALSE()),"")</f>
        <v/>
      </c>
      <c r="N55" s="8" t="str">
        <f>_xlfn.IFNA(VLOOKUP(_xlfn.CONCAT("T",N$1,"V",$D55,"A",$A55),Vulnerabilities!$G:$G,1,FALSE()),"")</f>
        <v/>
      </c>
      <c r="O55" s="8" t="str">
        <f>_xlfn.IFNA(VLOOKUP(_xlfn.CONCAT("T",O$1,"V",$D55,"A",$A55),Vulnerabilities!$G:$G,1,FALSE()),"")</f>
        <v/>
      </c>
      <c r="P55" s="8" t="str">
        <f>_xlfn.IFNA(VLOOKUP(_xlfn.CONCAT("T",P$1,"V",$D55,"A",$A55),Vulnerabilities!$G:$G,1,FALSE()),"")</f>
        <v/>
      </c>
    </row>
    <row r="56" spans="1:16" x14ac:dyDescent="0.45">
      <c r="A56" s="23">
        <f t="shared" si="0"/>
        <v>14</v>
      </c>
      <c r="B56" s="24" t="str">
        <f>IF(VLOOKUP($A56,Assets!$A:$C,2,FALSE())=0,"",VLOOKUP($A56,Assets!$A:$C,2,FALSE()))</f>
        <v>People</v>
      </c>
      <c r="C56" s="25" t="str">
        <f>IF(VLOOKUP($A56,Assets!$A:$C,3,FALSE())=0,"",VLOOKUP($A56,Assets!$A:$C,3,FALSE()))</f>
        <v>Accountants (x5)</v>
      </c>
      <c r="D56" s="10">
        <v>2</v>
      </c>
      <c r="E56" s="8" t="str">
        <f>_xlfn.IFNA(VLOOKUP(_xlfn.CONCAT("T",E$1,"V",$D56,"A",$A56),Vulnerabilities!$G:$G,1,FALSE()),"")</f>
        <v/>
      </c>
      <c r="F56" s="8" t="str">
        <f>_xlfn.IFNA(VLOOKUP(_xlfn.CONCAT("T",F$1,"V",$D56,"A",$A56),Vulnerabilities!$G:$G,1,FALSE()),"")</f>
        <v/>
      </c>
      <c r="G56" s="8" t="str">
        <f>_xlfn.IFNA(VLOOKUP(_xlfn.CONCAT("T",G$1,"V",$D56,"A",$A56),Vulnerabilities!$G:$G,1,FALSE()),"")</f>
        <v/>
      </c>
      <c r="H56" s="8" t="str">
        <f>_xlfn.IFNA(VLOOKUP(_xlfn.CONCAT("T",H$1,"V",$D56,"A",$A56),Vulnerabilities!$G:$G,1,FALSE()),"")</f>
        <v/>
      </c>
      <c r="I56" s="8" t="str">
        <f>_xlfn.IFNA(VLOOKUP(_xlfn.CONCAT("T",I$1,"V",$D56,"A",$A56),Vulnerabilities!$G:$G,1,FALSE()),"")</f>
        <v/>
      </c>
      <c r="J56" s="8" t="str">
        <f>_xlfn.IFNA(VLOOKUP(_xlfn.CONCAT("T",J$1,"V",$D56,"A",$A56),Vulnerabilities!$G:$G,1,FALSE()),"")</f>
        <v/>
      </c>
      <c r="K56" s="8" t="str">
        <f>_xlfn.IFNA(VLOOKUP(_xlfn.CONCAT("T",K$1,"V",$D56,"A",$A56),Vulnerabilities!$G:$G,1,FALSE()),"")</f>
        <v/>
      </c>
      <c r="L56" s="8" t="str">
        <f>_xlfn.IFNA(VLOOKUP(_xlfn.CONCAT("T",L$1,"V",$D56,"A",$A56),Vulnerabilities!$G:$G,1,FALSE()),"")</f>
        <v/>
      </c>
      <c r="M56" s="8" t="str">
        <f>_xlfn.IFNA(VLOOKUP(_xlfn.CONCAT("T",M$1,"V",$D56,"A",$A56),Vulnerabilities!$G:$G,1,FALSE()),"")</f>
        <v/>
      </c>
      <c r="N56" s="8" t="str">
        <f>_xlfn.IFNA(VLOOKUP(_xlfn.CONCAT("T",N$1,"V",$D56,"A",$A56),Vulnerabilities!$G:$G,1,FALSE()),"")</f>
        <v/>
      </c>
      <c r="O56" s="8" t="str">
        <f>_xlfn.IFNA(VLOOKUP(_xlfn.CONCAT("T",O$1,"V",$D56,"A",$A56),Vulnerabilities!$G:$G,1,FALSE()),"")</f>
        <v/>
      </c>
      <c r="P56" s="8" t="str">
        <f>_xlfn.IFNA(VLOOKUP(_xlfn.CONCAT("T",P$1,"V",$D56,"A",$A56),Vulnerabilities!$G:$G,1,FALSE()),"")</f>
        <v/>
      </c>
    </row>
    <row r="57" spans="1:16" x14ac:dyDescent="0.45">
      <c r="A57" s="23">
        <f t="shared" si="0"/>
        <v>14</v>
      </c>
      <c r="B57" s="24" t="str">
        <f>IF(VLOOKUP($A57,Assets!$A:$C,2,FALSE())=0,"",VLOOKUP($A57,Assets!$A:$C,2,FALSE()))</f>
        <v>People</v>
      </c>
      <c r="C57" s="25" t="str">
        <f>IF(VLOOKUP($A57,Assets!$A:$C,3,FALSE())=0,"",VLOOKUP($A57,Assets!$A:$C,3,FALSE()))</f>
        <v>Accountants (x5)</v>
      </c>
      <c r="D57" s="10">
        <v>3</v>
      </c>
      <c r="E57" s="8" t="str">
        <f>_xlfn.IFNA(VLOOKUP(_xlfn.CONCAT("T",E$1,"V",$D57,"A",$A57),Vulnerabilities!$G:$G,1,FALSE()),"")</f>
        <v/>
      </c>
      <c r="F57" s="8" t="str">
        <f>_xlfn.IFNA(VLOOKUP(_xlfn.CONCAT("T",F$1,"V",$D57,"A",$A57),Vulnerabilities!$G:$G,1,FALSE()),"")</f>
        <v/>
      </c>
      <c r="G57" s="8" t="str">
        <f>_xlfn.IFNA(VLOOKUP(_xlfn.CONCAT("T",G$1,"V",$D57,"A",$A57),Vulnerabilities!$G:$G,1,FALSE()),"")</f>
        <v/>
      </c>
      <c r="H57" s="8" t="str">
        <f>_xlfn.IFNA(VLOOKUP(_xlfn.CONCAT("T",H$1,"V",$D57,"A",$A57),Vulnerabilities!$G:$G,1,FALSE()),"")</f>
        <v/>
      </c>
      <c r="I57" s="8" t="str">
        <f>_xlfn.IFNA(VLOOKUP(_xlfn.CONCAT("T",I$1,"V",$D57,"A",$A57),Vulnerabilities!$G:$G,1,FALSE()),"")</f>
        <v/>
      </c>
      <c r="J57" s="8" t="str">
        <f>_xlfn.IFNA(VLOOKUP(_xlfn.CONCAT("T",J$1,"V",$D57,"A",$A57),Vulnerabilities!$G:$G,1,FALSE()),"")</f>
        <v/>
      </c>
      <c r="K57" s="8" t="str">
        <f>_xlfn.IFNA(VLOOKUP(_xlfn.CONCAT("T",K$1,"V",$D57,"A",$A57),Vulnerabilities!$G:$G,1,FALSE()),"")</f>
        <v/>
      </c>
      <c r="L57" s="8" t="str">
        <f>_xlfn.IFNA(VLOOKUP(_xlfn.CONCAT("T",L$1,"V",$D57,"A",$A57),Vulnerabilities!$G:$G,1,FALSE()),"")</f>
        <v/>
      </c>
      <c r="M57" s="8" t="str">
        <f>_xlfn.IFNA(VLOOKUP(_xlfn.CONCAT("T",M$1,"V",$D57,"A",$A57),Vulnerabilities!$G:$G,1,FALSE()),"")</f>
        <v/>
      </c>
      <c r="N57" s="8" t="str">
        <f>_xlfn.IFNA(VLOOKUP(_xlfn.CONCAT("T",N$1,"V",$D57,"A",$A57),Vulnerabilities!$G:$G,1,FALSE()),"")</f>
        <v/>
      </c>
      <c r="O57" s="8" t="str">
        <f>_xlfn.IFNA(VLOOKUP(_xlfn.CONCAT("T",O$1,"V",$D57,"A",$A57),Vulnerabilities!$G:$G,1,FALSE()),"")</f>
        <v/>
      </c>
      <c r="P57" s="8" t="str">
        <f>_xlfn.IFNA(VLOOKUP(_xlfn.CONCAT("T",P$1,"V",$D57,"A",$A57),Vulnerabilities!$G:$G,1,FALSE()),"")</f>
        <v/>
      </c>
    </row>
    <row r="58" spans="1:16" x14ac:dyDescent="0.45">
      <c r="A58" s="23">
        <f t="shared" si="0"/>
        <v>14</v>
      </c>
      <c r="B58" s="24" t="str">
        <f>IF(VLOOKUP($A58,Assets!$A:$C,2,FALSE())=0,"",VLOOKUP($A58,Assets!$A:$C,2,FALSE()))</f>
        <v>People</v>
      </c>
      <c r="C58" s="25" t="str">
        <f>IF(VLOOKUP($A58,Assets!$A:$C,3,FALSE())=0,"",VLOOKUP($A58,Assets!$A:$C,3,FALSE()))</f>
        <v>Accountants (x5)</v>
      </c>
      <c r="D58" s="10">
        <v>4</v>
      </c>
      <c r="E58" s="8" t="str">
        <f>_xlfn.IFNA(VLOOKUP(_xlfn.CONCAT("T",E$1,"V",$D58,"A",$A58),Vulnerabilities!$G:$G,1,FALSE()),"")</f>
        <v/>
      </c>
      <c r="F58" s="8" t="str">
        <f>_xlfn.IFNA(VLOOKUP(_xlfn.CONCAT("T",F$1,"V",$D58,"A",$A58),Vulnerabilities!$G:$G,1,FALSE()),"")</f>
        <v/>
      </c>
      <c r="G58" s="8" t="str">
        <f>_xlfn.IFNA(VLOOKUP(_xlfn.CONCAT("T",G$1,"V",$D58,"A",$A58),Vulnerabilities!$G:$G,1,FALSE()),"")</f>
        <v/>
      </c>
      <c r="H58" s="8" t="str">
        <f>_xlfn.IFNA(VLOOKUP(_xlfn.CONCAT("T",H$1,"V",$D58,"A",$A58),Vulnerabilities!$G:$G,1,FALSE()),"")</f>
        <v/>
      </c>
      <c r="I58" s="8" t="str">
        <f>_xlfn.IFNA(VLOOKUP(_xlfn.CONCAT("T",I$1,"V",$D58,"A",$A58),Vulnerabilities!$G:$G,1,FALSE()),"")</f>
        <v/>
      </c>
      <c r="J58" s="8" t="str">
        <f>_xlfn.IFNA(VLOOKUP(_xlfn.CONCAT("T",J$1,"V",$D58,"A",$A58),Vulnerabilities!$G:$G,1,FALSE()),"")</f>
        <v/>
      </c>
      <c r="K58" s="8" t="str">
        <f>_xlfn.IFNA(VLOOKUP(_xlfn.CONCAT("T",K$1,"V",$D58,"A",$A58),Vulnerabilities!$G:$G,1,FALSE()),"")</f>
        <v/>
      </c>
      <c r="L58" s="8" t="str">
        <f>_xlfn.IFNA(VLOOKUP(_xlfn.CONCAT("T",L$1,"V",$D58,"A",$A58),Vulnerabilities!$G:$G,1,FALSE()),"")</f>
        <v/>
      </c>
      <c r="M58" s="8" t="str">
        <f>_xlfn.IFNA(VLOOKUP(_xlfn.CONCAT("T",M$1,"V",$D58,"A",$A58),Vulnerabilities!$G:$G,1,FALSE()),"")</f>
        <v/>
      </c>
      <c r="N58" s="8" t="str">
        <f>_xlfn.IFNA(VLOOKUP(_xlfn.CONCAT("T",N$1,"V",$D58,"A",$A58),Vulnerabilities!$G:$G,1,FALSE()),"")</f>
        <v/>
      </c>
      <c r="O58" s="8" t="str">
        <f>_xlfn.IFNA(VLOOKUP(_xlfn.CONCAT("T",O$1,"V",$D58,"A",$A58),Vulnerabilities!$G:$G,1,FALSE()),"")</f>
        <v/>
      </c>
      <c r="P58" s="8" t="str">
        <f>_xlfn.IFNA(VLOOKUP(_xlfn.CONCAT("T",P$1,"V",$D58,"A",$A58),Vulnerabilities!$G:$G,1,FALSE()),"")</f>
        <v/>
      </c>
    </row>
  </sheetData>
  <conditionalFormatting sqref="E3:P58">
    <cfRule type="containsText" dxfId="0" priority="1" operator="containsText" text="T">
      <formula>NOT(ISERROR(SEARCH("T",E3)))</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
  <sheetViews>
    <sheetView zoomScaleNormal="100" workbookViewId="0">
      <selection sqref="A1:A7"/>
    </sheetView>
  </sheetViews>
  <sheetFormatPr defaultColWidth="8.6640625" defaultRowHeight="14.25" x14ac:dyDescent="0.45"/>
  <cols>
    <col min="1" max="1" width="11.73046875" customWidth="1"/>
  </cols>
  <sheetData>
    <row r="1" spans="1:1" x14ac:dyDescent="0.45">
      <c r="A1" s="16" t="s">
        <v>91</v>
      </c>
    </row>
    <row r="2" spans="1:1" x14ac:dyDescent="0.45">
      <c r="A2" s="15" t="s">
        <v>7</v>
      </c>
    </row>
    <row r="3" spans="1:1" x14ac:dyDescent="0.45">
      <c r="A3" s="15" t="s">
        <v>12</v>
      </c>
    </row>
    <row r="4" spans="1:1" x14ac:dyDescent="0.45">
      <c r="A4" s="15" t="s">
        <v>17</v>
      </c>
    </row>
    <row r="5" spans="1:1" x14ac:dyDescent="0.45">
      <c r="A5" s="15" t="s">
        <v>96</v>
      </c>
    </row>
    <row r="6" spans="1:1" x14ac:dyDescent="0.45">
      <c r="A6" s="15" t="s">
        <v>21</v>
      </c>
    </row>
    <row r="7" spans="1:1" x14ac:dyDescent="0.45">
      <c r="A7" s="15" t="s">
        <v>97</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zoomScaleNormal="100" workbookViewId="0">
      <selection activeCell="C16" sqref="C16"/>
    </sheetView>
  </sheetViews>
  <sheetFormatPr defaultColWidth="8.6640625" defaultRowHeight="14.25" x14ac:dyDescent="0.45"/>
  <cols>
    <col min="1" max="1" width="8.73046875" style="6" bestFit="1" customWidth="1"/>
    <col min="2" max="2" width="8.53125" style="6" bestFit="1" customWidth="1"/>
    <col min="3" max="3" width="17.33203125" style="6" bestFit="1" customWidth="1"/>
    <col min="4" max="4" width="8.53125" style="6" bestFit="1" customWidth="1"/>
  </cols>
  <sheetData>
    <row r="1" spans="1:4" x14ac:dyDescent="0.45">
      <c r="A1" s="9" t="s">
        <v>30</v>
      </c>
      <c r="B1" s="9" t="s">
        <v>31</v>
      </c>
      <c r="C1" s="9" t="s">
        <v>98</v>
      </c>
      <c r="D1" s="9" t="s">
        <v>32</v>
      </c>
    </row>
    <row r="2" spans="1:4" x14ac:dyDescent="0.45">
      <c r="A2" s="9" t="s">
        <v>99</v>
      </c>
      <c r="B2" s="10" t="s">
        <v>100</v>
      </c>
      <c r="C2" s="10" t="str">
        <f t="shared" ref="C2:C26" si="0">_xlfn.CONCAT(A2,"|",B2)</f>
        <v>Very High|Very Low</v>
      </c>
      <c r="D2" s="10" t="s">
        <v>100</v>
      </c>
    </row>
    <row r="3" spans="1:4" x14ac:dyDescent="0.45">
      <c r="A3" s="9" t="s">
        <v>38</v>
      </c>
      <c r="B3" s="10" t="s">
        <v>100</v>
      </c>
      <c r="C3" s="10" t="str">
        <f t="shared" si="0"/>
        <v>High|Very Low</v>
      </c>
      <c r="D3" s="10" t="s">
        <v>100</v>
      </c>
    </row>
    <row r="4" spans="1:4" x14ac:dyDescent="0.45">
      <c r="A4" s="9" t="s">
        <v>37</v>
      </c>
      <c r="B4" s="10" t="s">
        <v>100</v>
      </c>
      <c r="C4" s="10" t="str">
        <f t="shared" si="0"/>
        <v>Moderate|Very Low</v>
      </c>
      <c r="D4" s="10" t="s">
        <v>100</v>
      </c>
    </row>
    <row r="5" spans="1:4" x14ac:dyDescent="0.45">
      <c r="A5" s="9" t="s">
        <v>43</v>
      </c>
      <c r="B5" s="10" t="s">
        <v>100</v>
      </c>
      <c r="C5" s="10" t="str">
        <f t="shared" si="0"/>
        <v>Low|Very Low</v>
      </c>
      <c r="D5" s="10" t="s">
        <v>100</v>
      </c>
    </row>
    <row r="6" spans="1:4" x14ac:dyDescent="0.45">
      <c r="A6" s="9" t="s">
        <v>100</v>
      </c>
      <c r="B6" s="10" t="s">
        <v>100</v>
      </c>
      <c r="C6" s="10" t="str">
        <f t="shared" si="0"/>
        <v>Very Low|Very Low</v>
      </c>
      <c r="D6" s="10" t="s">
        <v>100</v>
      </c>
    </row>
    <row r="7" spans="1:4" x14ac:dyDescent="0.45">
      <c r="A7" s="9" t="s">
        <v>99</v>
      </c>
      <c r="B7" s="10" t="s">
        <v>43</v>
      </c>
      <c r="C7" s="10" t="str">
        <f t="shared" si="0"/>
        <v>Very High|Low</v>
      </c>
      <c r="D7" s="10" t="s">
        <v>43</v>
      </c>
    </row>
    <row r="8" spans="1:4" x14ac:dyDescent="0.45">
      <c r="A8" s="9" t="s">
        <v>38</v>
      </c>
      <c r="B8" s="10" t="s">
        <v>43</v>
      </c>
      <c r="C8" s="10" t="str">
        <f t="shared" si="0"/>
        <v>High|Low</v>
      </c>
      <c r="D8" s="10" t="s">
        <v>43</v>
      </c>
    </row>
    <row r="9" spans="1:4" x14ac:dyDescent="0.45">
      <c r="A9" s="9" t="s">
        <v>37</v>
      </c>
      <c r="B9" s="10" t="s">
        <v>43</v>
      </c>
      <c r="C9" s="10" t="str">
        <f t="shared" si="0"/>
        <v>Moderate|Low</v>
      </c>
      <c r="D9" s="10" t="s">
        <v>43</v>
      </c>
    </row>
    <row r="10" spans="1:4" x14ac:dyDescent="0.45">
      <c r="A10" s="9" t="s">
        <v>43</v>
      </c>
      <c r="B10" s="10" t="s">
        <v>43</v>
      </c>
      <c r="C10" s="10" t="str">
        <f t="shared" si="0"/>
        <v>Low|Low</v>
      </c>
      <c r="D10" s="10" t="s">
        <v>43</v>
      </c>
    </row>
    <row r="11" spans="1:4" x14ac:dyDescent="0.45">
      <c r="A11" s="9" t="s">
        <v>100</v>
      </c>
      <c r="B11" s="10" t="s">
        <v>43</v>
      </c>
      <c r="C11" s="10" t="str">
        <f t="shared" si="0"/>
        <v>Very Low|Low</v>
      </c>
      <c r="D11" s="10" t="s">
        <v>100</v>
      </c>
    </row>
    <row r="12" spans="1:4" x14ac:dyDescent="0.45">
      <c r="A12" s="9" t="s">
        <v>99</v>
      </c>
      <c r="B12" s="10" t="s">
        <v>37</v>
      </c>
      <c r="C12" s="10" t="str">
        <f t="shared" si="0"/>
        <v>Very High|Moderate</v>
      </c>
      <c r="D12" s="10" t="s">
        <v>37</v>
      </c>
    </row>
    <row r="13" spans="1:4" x14ac:dyDescent="0.45">
      <c r="A13" s="9" t="s">
        <v>38</v>
      </c>
      <c r="B13" s="10" t="s">
        <v>37</v>
      </c>
      <c r="C13" s="10" t="str">
        <f t="shared" si="0"/>
        <v>High|Moderate</v>
      </c>
      <c r="D13" s="10" t="s">
        <v>37</v>
      </c>
    </row>
    <row r="14" spans="1:4" x14ac:dyDescent="0.45">
      <c r="A14" s="9" t="s">
        <v>37</v>
      </c>
      <c r="B14" s="10" t="s">
        <v>37</v>
      </c>
      <c r="C14" s="10" t="str">
        <f t="shared" si="0"/>
        <v>Moderate|Moderate</v>
      </c>
      <c r="D14" s="10" t="s">
        <v>37</v>
      </c>
    </row>
    <row r="15" spans="1:4" x14ac:dyDescent="0.45">
      <c r="A15" s="9" t="s">
        <v>43</v>
      </c>
      <c r="B15" s="10" t="s">
        <v>37</v>
      </c>
      <c r="C15" s="10" t="str">
        <f t="shared" si="0"/>
        <v>Low|Moderate</v>
      </c>
      <c r="D15" s="10" t="s">
        <v>43</v>
      </c>
    </row>
    <row r="16" spans="1:4" x14ac:dyDescent="0.45">
      <c r="A16" s="9" t="s">
        <v>100</v>
      </c>
      <c r="B16" s="10" t="s">
        <v>37</v>
      </c>
      <c r="C16" s="10" t="str">
        <f t="shared" si="0"/>
        <v>Very Low|Moderate</v>
      </c>
      <c r="D16" s="10" t="s">
        <v>100</v>
      </c>
    </row>
    <row r="17" spans="1:4" x14ac:dyDescent="0.45">
      <c r="A17" s="9" t="s">
        <v>99</v>
      </c>
      <c r="B17" s="10" t="s">
        <v>38</v>
      </c>
      <c r="C17" s="10" t="str">
        <f t="shared" si="0"/>
        <v>Very High|High</v>
      </c>
      <c r="D17" s="10" t="s">
        <v>38</v>
      </c>
    </row>
    <row r="18" spans="1:4" x14ac:dyDescent="0.45">
      <c r="A18" s="9" t="s">
        <v>38</v>
      </c>
      <c r="B18" s="10" t="s">
        <v>38</v>
      </c>
      <c r="C18" s="10" t="str">
        <f t="shared" si="0"/>
        <v>High|High</v>
      </c>
      <c r="D18" s="10" t="s">
        <v>38</v>
      </c>
    </row>
    <row r="19" spans="1:4" x14ac:dyDescent="0.45">
      <c r="A19" s="9" t="s">
        <v>37</v>
      </c>
      <c r="B19" s="10" t="s">
        <v>38</v>
      </c>
      <c r="C19" s="10" t="str">
        <f t="shared" si="0"/>
        <v>Moderate|High</v>
      </c>
      <c r="D19" s="10" t="s">
        <v>37</v>
      </c>
    </row>
    <row r="20" spans="1:4" x14ac:dyDescent="0.45">
      <c r="A20" s="9" t="s">
        <v>43</v>
      </c>
      <c r="B20" s="10" t="s">
        <v>38</v>
      </c>
      <c r="C20" s="10" t="str">
        <f t="shared" si="0"/>
        <v>Low|High</v>
      </c>
      <c r="D20" s="10" t="s">
        <v>43</v>
      </c>
    </row>
    <row r="21" spans="1:4" x14ac:dyDescent="0.45">
      <c r="A21" s="9" t="s">
        <v>100</v>
      </c>
      <c r="B21" s="10" t="s">
        <v>38</v>
      </c>
      <c r="C21" s="10" t="str">
        <f t="shared" si="0"/>
        <v>Very Low|High</v>
      </c>
      <c r="D21" s="10" t="s">
        <v>43</v>
      </c>
    </row>
    <row r="22" spans="1:4" x14ac:dyDescent="0.45">
      <c r="A22" s="9" t="s">
        <v>99</v>
      </c>
      <c r="B22" s="10" t="s">
        <v>99</v>
      </c>
      <c r="C22" s="10" t="str">
        <f t="shared" si="0"/>
        <v>Very High|Very High</v>
      </c>
      <c r="D22" s="10" t="s">
        <v>99</v>
      </c>
    </row>
    <row r="23" spans="1:4" x14ac:dyDescent="0.45">
      <c r="A23" s="9" t="s">
        <v>38</v>
      </c>
      <c r="B23" s="10" t="s">
        <v>99</v>
      </c>
      <c r="C23" s="10" t="str">
        <f t="shared" si="0"/>
        <v>High|Very High</v>
      </c>
      <c r="D23" s="10" t="s">
        <v>99</v>
      </c>
    </row>
    <row r="24" spans="1:4" x14ac:dyDescent="0.45">
      <c r="A24" s="9" t="s">
        <v>37</v>
      </c>
      <c r="B24" s="10" t="s">
        <v>99</v>
      </c>
      <c r="C24" s="10" t="str">
        <f t="shared" si="0"/>
        <v>Moderate|Very High</v>
      </c>
      <c r="D24" s="10" t="s">
        <v>38</v>
      </c>
    </row>
    <row r="25" spans="1:4" x14ac:dyDescent="0.45">
      <c r="A25" s="9" t="s">
        <v>43</v>
      </c>
      <c r="B25" s="10" t="s">
        <v>99</v>
      </c>
      <c r="C25" s="10" t="str">
        <f t="shared" si="0"/>
        <v>Low|Very High</v>
      </c>
      <c r="D25" s="10" t="s">
        <v>37</v>
      </c>
    </row>
    <row r="26" spans="1:4" x14ac:dyDescent="0.45">
      <c r="A26" s="9" t="s">
        <v>100</v>
      </c>
      <c r="B26" s="10" t="s">
        <v>99</v>
      </c>
      <c r="C26" s="10" t="str">
        <f t="shared" si="0"/>
        <v>Very Low|Very High</v>
      </c>
      <c r="D26" s="10" t="s">
        <v>43</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zoomScaleNormal="100" workbookViewId="0">
      <selection activeCell="B5" sqref="B5"/>
    </sheetView>
  </sheetViews>
  <sheetFormatPr defaultColWidth="8.6640625" defaultRowHeight="14.25" x14ac:dyDescent="0.45"/>
  <cols>
    <col min="1" max="1" width="9.6640625" bestFit="1" customWidth="1"/>
    <col min="2" max="2" width="29.9296875" bestFit="1" customWidth="1"/>
    <col min="3" max="3" width="79.33203125" bestFit="1" customWidth="1"/>
  </cols>
  <sheetData>
    <row r="1" spans="1:3" x14ac:dyDescent="0.45">
      <c r="A1" s="12" t="s">
        <v>25</v>
      </c>
      <c r="B1" s="13" t="s">
        <v>26</v>
      </c>
      <c r="C1" s="13" t="s">
        <v>101</v>
      </c>
    </row>
    <row r="2" spans="1:3" x14ac:dyDescent="0.45">
      <c r="A2" s="12">
        <v>1</v>
      </c>
      <c r="B2" s="14" t="s">
        <v>34</v>
      </c>
      <c r="C2" s="14" t="s">
        <v>102</v>
      </c>
    </row>
    <row r="3" spans="1:3" x14ac:dyDescent="0.45">
      <c r="A3" s="12">
        <v>2</v>
      </c>
      <c r="B3" s="14" t="s">
        <v>46</v>
      </c>
      <c r="C3" s="14" t="s">
        <v>103</v>
      </c>
    </row>
    <row r="4" spans="1:3" x14ac:dyDescent="0.45">
      <c r="A4" s="12">
        <v>3</v>
      </c>
      <c r="B4" s="14" t="s">
        <v>55</v>
      </c>
      <c r="C4" s="14" t="s">
        <v>104</v>
      </c>
    </row>
    <row r="5" spans="1:3" x14ac:dyDescent="0.45">
      <c r="A5" s="12">
        <v>4</v>
      </c>
      <c r="B5" s="14" t="s">
        <v>60</v>
      </c>
      <c r="C5" s="14" t="s">
        <v>105</v>
      </c>
    </row>
    <row r="6" spans="1:3" x14ac:dyDescent="0.45">
      <c r="A6" s="12">
        <v>5</v>
      </c>
      <c r="B6" s="14" t="s">
        <v>65</v>
      </c>
      <c r="C6" s="14" t="s">
        <v>106</v>
      </c>
    </row>
    <row r="7" spans="1:3" x14ac:dyDescent="0.45">
      <c r="A7" s="12">
        <v>6</v>
      </c>
      <c r="B7" s="14" t="s">
        <v>107</v>
      </c>
      <c r="C7" s="14" t="s">
        <v>108</v>
      </c>
    </row>
    <row r="8" spans="1:3" x14ac:dyDescent="0.45">
      <c r="A8" s="12">
        <v>7</v>
      </c>
      <c r="B8" s="14" t="s">
        <v>109</v>
      </c>
      <c r="C8" s="14" t="s">
        <v>110</v>
      </c>
    </row>
    <row r="9" spans="1:3" x14ac:dyDescent="0.45">
      <c r="A9" s="12">
        <v>8</v>
      </c>
      <c r="B9" s="14" t="s">
        <v>70</v>
      </c>
      <c r="C9" s="14" t="s">
        <v>111</v>
      </c>
    </row>
    <row r="10" spans="1:3" x14ac:dyDescent="0.45">
      <c r="A10" s="12">
        <v>9</v>
      </c>
      <c r="B10" s="14" t="s">
        <v>75</v>
      </c>
      <c r="C10" s="14" t="s">
        <v>112</v>
      </c>
    </row>
    <row r="11" spans="1:3" x14ac:dyDescent="0.45">
      <c r="A11" s="12">
        <v>10</v>
      </c>
      <c r="B11" s="14" t="s">
        <v>113</v>
      </c>
      <c r="C11" s="14" t="s">
        <v>114</v>
      </c>
    </row>
    <row r="12" spans="1:3" x14ac:dyDescent="0.45">
      <c r="A12" s="12">
        <v>11</v>
      </c>
      <c r="B12" s="14" t="s">
        <v>80</v>
      </c>
      <c r="C12" s="14" t="s">
        <v>115</v>
      </c>
    </row>
    <row r="13" spans="1:3" x14ac:dyDescent="0.45">
      <c r="A13" s="12">
        <v>12</v>
      </c>
      <c r="B13" s="14" t="s">
        <v>85</v>
      </c>
      <c r="C13" s="14" t="s">
        <v>116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Gordon</dc:creator>
  <dc:description/>
  <cp:lastModifiedBy>LENOVO</cp:lastModifiedBy>
  <cp:revision>0</cp:revision>
  <dcterms:created xsi:type="dcterms:W3CDTF">2015-06-05T18:17:20Z</dcterms:created>
  <dcterms:modified xsi:type="dcterms:W3CDTF">2026-05-21T05:45:18Z</dcterms:modified>
  <dc:language>en-US</dc:language>
</cp:coreProperties>
</file>